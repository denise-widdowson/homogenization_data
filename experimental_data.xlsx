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846\Documents\01_Denise Grad School\MACS Lab\homogenization paper\Manuscript\submission\"/>
    </mc:Choice>
  </mc:AlternateContent>
  <xr:revisionPtr revIDLastSave="0" documentId="13_ncr:1_{FCBA2A80-E683-41E0-B29A-011093ACBB15}" xr6:coauthVersionLast="47" xr6:coauthVersionMax="47" xr10:uidLastSave="{00000000-0000-0000-0000-000000000000}"/>
  <bookViews>
    <workbookView xWindow="-120" yWindow="-120" windowWidth="20640" windowHeight="11160" activeTab="4" xr2:uid="{00000000-000D-0000-FFFF-FFFF00000000}"/>
  </bookViews>
  <sheets>
    <sheet name="Case 1" sheetId="4" r:id="rId1"/>
    <sheet name="Case 2" sheetId="5" r:id="rId2"/>
    <sheet name="Case 3" sheetId="6" r:id="rId3"/>
    <sheet name="Case 4" sheetId="7" r:id="rId4"/>
    <sheet name="Case 5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 a="1"/>
  <c r="U4" i="4" s="1"/>
  <c r="V4" i="4" a="1"/>
  <c r="V4" i="4" s="1"/>
  <c r="W4" i="4" a="1"/>
  <c r="W4" i="4" s="1"/>
  <c r="X4" i="4" a="1"/>
  <c r="X4" i="4" s="1"/>
  <c r="Y4" i="4" a="1"/>
  <c r="Y4" i="4" s="1"/>
  <c r="Z4" i="4" a="1"/>
  <c r="Z4" i="4" s="1"/>
  <c r="AA4" i="4" a="1"/>
  <c r="AA4" i="4" s="1"/>
  <c r="AB4" i="4" a="1"/>
  <c r="AB4" i="4" s="1"/>
  <c r="AC4" i="4" a="1"/>
  <c r="AC4" i="4" s="1"/>
  <c r="AD4" i="4" a="1"/>
  <c r="AD4" i="4" s="1"/>
  <c r="AE4" i="4" a="1"/>
  <c r="AE4" i="4" s="1"/>
  <c r="AF4" i="4" a="1"/>
  <c r="AF4" i="4" s="1"/>
  <c r="AG4" i="4" a="1"/>
  <c r="AG4" i="4" s="1"/>
  <c r="AH4" i="4" a="1"/>
  <c r="AH4" i="4" s="1"/>
  <c r="AI4" i="4" a="1"/>
  <c r="AI4" i="4" s="1"/>
  <c r="AJ4" i="4" a="1"/>
  <c r="AJ4" i="4" s="1"/>
  <c r="T4" i="4" a="1"/>
  <c r="T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<sst xmlns="http://schemas.openxmlformats.org/spreadsheetml/2006/main" count="1381" uniqueCount="37">
  <si>
    <t>Vector
Fields E</t>
  </si>
  <si>
    <t>Vector
Fields H</t>
  </si>
  <si>
    <t>Volume
Fraction</t>
  </si>
  <si>
    <t>Particle
Type</t>
  </si>
  <si>
    <t>Tensile
Young’s
Moduli</t>
  </si>
  <si>
    <t>Compressive
Young’s
Modli</t>
  </si>
  <si>
    <t>Dielectric Loss at 1 KHz</t>
  </si>
  <si>
    <t>Dielectric
At 1KHz</t>
  </si>
  <si>
    <t>Saturation</t>
  </si>
  <si>
    <t>Remanance</t>
  </si>
  <si>
    <t>Squareness</t>
  </si>
  <si>
    <t>1KHz
KV/mm</t>
  </si>
  <si>
    <t>Constant
T</t>
  </si>
  <si>
    <t>Weight %</t>
  </si>
  <si>
    <t>Kpa</t>
  </si>
  <si>
    <t>In</t>
  </si>
  <si>
    <t>Out</t>
  </si>
  <si>
    <t>1emu/g=1(Am^2)/kg</t>
  </si>
  <si>
    <t>Ex</t>
  </si>
  <si>
    <t>Ey</t>
  </si>
  <si>
    <t>Ez</t>
  </si>
  <si>
    <t>Hx</t>
  </si>
  <si>
    <t>Hy</t>
  </si>
  <si>
    <t>Hz</t>
  </si>
  <si>
    <t>Nano</t>
  </si>
  <si>
    <t>Micro</t>
  </si>
  <si>
    <t>1417 pl</t>
  </si>
  <si>
    <t>925 pl</t>
  </si>
  <si>
    <t>Comp (0-3 %)</t>
  </si>
  <si>
    <t>Compressive
Comp (20-23)</t>
  </si>
  <si>
    <t>In (0 deg)</t>
  </si>
  <si>
    <t>Out (90 deg)</t>
  </si>
  <si>
    <t>In (0)</t>
  </si>
  <si>
    <t>Out (90)</t>
  </si>
  <si>
    <t>10Hz, 15
KV/mm</t>
  </si>
  <si>
    <t>Mpa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</si>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</sst>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Liberation Sans"/>
    </font>
    <font>
      <sz val="11"/>
      <color rgb="FF000000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sz val="11"/>
      <color rgb="FF000000"/>
      <name val="FreeSans"/>
    </font>
    <font>
      <sz val="11"/>
      <color rgb="FF000000"/>
      <name val="FreeSans"/>
    </font>
    <font>
      <b/>
      <sz val="10"/>
      <color rgb="FF000000"/>
      <name val="Free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9">
    <xf numFmtId="0" fontId="0" fillId="0" borderId="0" xfId="0"/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3065-4C10-4453-BEF6-AF93834C45F1}">
  <dimension ref="A1:AJ18"/>
  <sheetViews>
    <sheetView workbookViewId="0">
      <selection activeCell="F11" sqref="F11"/>
    </sheetView>
  </sheetViews>
  <sheetFormatPr defaultRowHeight="14.25"/>
  <cols>
    <col min="1" max="1" width="8.25" bestFit="1" customWidth="1"/>
    <col min="2" max="6" width="5.75" customWidth="1"/>
    <col min="7" max="7" width="16.125" bestFit="1" customWidth="1"/>
    <col min="8" max="8" width="13.5" bestFit="1" customWidth="1"/>
    <col min="9" max="9" width="20.75" bestFit="1" customWidth="1"/>
    <col min="10" max="10" width="25" bestFit="1" customWidth="1"/>
    <col min="11" max="11" width="22.375" bestFit="1" customWidth="1"/>
    <col min="12" max="12" width="18" bestFit="1" customWidth="1"/>
    <col min="13" max="14" width="10" bestFit="1" customWidth="1"/>
    <col min="15" max="15" width="18.25" bestFit="1" customWidth="1"/>
    <col min="16" max="16" width="11.25" bestFit="1" customWidth="1"/>
    <col min="17" max="18" width="11.5" bestFit="1" customWidth="1"/>
  </cols>
  <sheetData>
    <row r="1" spans="1:36" ht="60">
      <c r="A1" s="7" t="s">
        <v>0</v>
      </c>
      <c r="B1" s="7"/>
      <c r="C1" s="7"/>
      <c r="D1" s="7" t="s">
        <v>1</v>
      </c>
      <c r="E1" s="7"/>
      <c r="F1" s="7"/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8</v>
      </c>
      <c r="O1" s="2" t="s">
        <v>9</v>
      </c>
      <c r="P1" s="3" t="s">
        <v>9</v>
      </c>
      <c r="Q1" s="3" t="s">
        <v>10</v>
      </c>
      <c r="R1" s="3" t="s">
        <v>10</v>
      </c>
      <c r="T1" s="7" t="s">
        <v>0</v>
      </c>
      <c r="U1" s="7"/>
      <c r="V1" s="7"/>
      <c r="W1" s="7" t="s">
        <v>1</v>
      </c>
      <c r="X1" s="7"/>
      <c r="Y1" s="7"/>
      <c r="Z1" s="2" t="s">
        <v>2</v>
      </c>
      <c r="AA1" s="2" t="s">
        <v>3</v>
      </c>
      <c r="AB1" s="6" t="s">
        <v>4</v>
      </c>
      <c r="AC1" s="6" t="s">
        <v>28</v>
      </c>
      <c r="AD1" s="6" t="s">
        <v>29</v>
      </c>
      <c r="AE1" s="2" t="s">
        <v>6</v>
      </c>
      <c r="AF1" s="2" t="s">
        <v>7</v>
      </c>
      <c r="AG1" s="2" t="s">
        <v>8</v>
      </c>
      <c r="AH1" s="2" t="s">
        <v>8</v>
      </c>
      <c r="AI1" s="2" t="s">
        <v>9</v>
      </c>
      <c r="AJ1" s="3" t="s">
        <v>9</v>
      </c>
    </row>
    <row r="2" spans="1:36" ht="25.5">
      <c r="A2" s="7" t="s">
        <v>11</v>
      </c>
      <c r="B2" s="7"/>
      <c r="C2" s="7"/>
      <c r="D2" s="7" t="s">
        <v>12</v>
      </c>
      <c r="E2" s="7"/>
      <c r="F2" s="7"/>
      <c r="G2" s="2" t="s">
        <v>13</v>
      </c>
      <c r="H2" s="2"/>
      <c r="I2" s="2" t="s">
        <v>14</v>
      </c>
      <c r="J2" s="2" t="s">
        <v>14</v>
      </c>
      <c r="K2" s="2"/>
      <c r="L2" s="2"/>
      <c r="M2" s="2" t="s">
        <v>15</v>
      </c>
      <c r="N2" s="4" t="s">
        <v>16</v>
      </c>
      <c r="O2" s="2" t="s">
        <v>17</v>
      </c>
      <c r="P2" s="3" t="s">
        <v>16</v>
      </c>
      <c r="Q2" s="3" t="s">
        <v>15</v>
      </c>
      <c r="R2" s="3" t="s">
        <v>16</v>
      </c>
      <c r="T2" s="8" t="s">
        <v>34</v>
      </c>
      <c r="U2" s="7"/>
      <c r="V2" s="7"/>
      <c r="W2" s="7" t="s">
        <v>12</v>
      </c>
      <c r="X2" s="7"/>
      <c r="Y2" s="7"/>
      <c r="Z2" s="2" t="s">
        <v>13</v>
      </c>
      <c r="AA2" s="2"/>
      <c r="AB2" s="2" t="s">
        <v>35</v>
      </c>
      <c r="AC2" s="2" t="s">
        <v>35</v>
      </c>
      <c r="AD2" s="2" t="s">
        <v>35</v>
      </c>
      <c r="AE2" s="2"/>
      <c r="AF2" s="2"/>
      <c r="AG2" s="2" t="s">
        <v>30</v>
      </c>
      <c r="AH2" s="4" t="s">
        <v>31</v>
      </c>
      <c r="AI2" s="2" t="s">
        <v>32</v>
      </c>
      <c r="AJ2" s="3" t="s">
        <v>33</v>
      </c>
    </row>
    <row r="3" spans="1:36" ht="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/>
      <c r="H3" s="2"/>
      <c r="I3" s="1"/>
      <c r="J3" s="1"/>
      <c r="K3" s="1"/>
      <c r="L3" s="1"/>
      <c r="M3" s="1"/>
      <c r="N3" s="1"/>
      <c r="O3" s="1"/>
      <c r="P3" s="5"/>
      <c r="Q3" s="5"/>
      <c r="R3" s="5"/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/>
      <c r="AA3" s="2"/>
      <c r="AB3" s="1"/>
      <c r="AC3" s="1"/>
      <c r="AD3" s="1"/>
      <c r="AE3" s="1"/>
      <c r="AF3" s="1"/>
      <c r="AG3" s="1"/>
      <c r="AH3" s="1"/>
      <c r="AI3" s="1"/>
      <c r="AJ3" s="5"/>
    </row>
    <row r="4" spans="1:3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T4" t="e" cm="1">
        <f t="array" ref="T4">_xlfn._xlws.FILTER(#REF!, (#REF! = 1))</f>
        <v>#REF!</v>
      </c>
      <c r="U4" t="e" cm="1">
        <f t="array" ref="U4">_xlfn._xlws.FILTER(#REF!, (#REF! = 1))</f>
        <v>#REF!</v>
      </c>
      <c r="V4" t="e" cm="1">
        <f t="array" ref="V4">_xlfn._xlws.FILTER(#REF!, (#REF! = 1))</f>
        <v>#REF!</v>
      </c>
      <c r="W4" t="e" cm="1">
        <f t="array" ref="W4">_xlfn._xlws.FILTER(#REF!, (#REF! = 1))</f>
        <v>#REF!</v>
      </c>
      <c r="X4" t="e" cm="1">
        <f t="array" ref="X4">_xlfn._xlws.FILTER(#REF!, (#REF! = 1))</f>
        <v>#REF!</v>
      </c>
      <c r="Y4" t="e" cm="1">
        <f t="array" ref="Y4">_xlfn._xlws.FILTER(#REF!, (#REF! = 1))</f>
        <v>#REF!</v>
      </c>
      <c r="Z4" t="e" cm="1">
        <f t="array" ref="Z4">_xlfn._xlws.FILTER(#REF!, (#REF! = 1))</f>
        <v>#REF!</v>
      </c>
      <c r="AA4" t="e" cm="1">
        <f t="array" ref="AA4">_xlfn._xlws.FILTER(#REF!, (#REF! = 1))</f>
        <v>#REF!</v>
      </c>
      <c r="AB4" t="e" cm="1">
        <f t="array" ref="AB4">_xlfn._xlws.FILTER(#REF!, (#REF! = 1))</f>
        <v>#REF!</v>
      </c>
      <c r="AC4" t="e" cm="1">
        <f t="array" ref="AC4">_xlfn._xlws.FILTER(#REF!, (#REF! = 1))</f>
        <v>#REF!</v>
      </c>
      <c r="AD4" t="e" cm="1">
        <f t="array" ref="AD4">_xlfn._xlws.FILTER(#REF!, (#REF! = 1))</f>
        <v>#REF!</v>
      </c>
      <c r="AE4" t="e" cm="1">
        <f t="array" ref="AE4">_xlfn._xlws.FILTER(#REF!, (#REF! = 1))</f>
        <v>#REF!</v>
      </c>
      <c r="AF4" t="e" cm="1">
        <f t="array" ref="AF4">_xlfn._xlws.FILTER(#REF!, (#REF! = 1))</f>
        <v>#REF!</v>
      </c>
      <c r="AG4" t="e" cm="1">
        <f t="array" ref="AG4">_xlfn._xlws.FILTER(#REF!, (#REF! = 1))</f>
        <v>#REF!</v>
      </c>
      <c r="AH4" t="e" cm="1">
        <f t="array" ref="AH4">_xlfn._xlws.FILTER(#REF!, (#REF! = 1))</f>
        <v>#REF!</v>
      </c>
      <c r="AI4" t="e" cm="1">
        <f t="array" ref="AI4">_xlfn._xlws.FILTER(#REF!, (#REF! = 1))</f>
        <v>#REF!</v>
      </c>
      <c r="AJ4" t="e" cm="1">
        <f t="array" ref="AJ4">_xlfn._xlws.FILTER(#REF!, (#REF! = 1))</f>
        <v>#REF!</v>
      </c>
    </row>
    <row r="5" spans="1:3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 t="s">
        <v>24</v>
      </c>
      <c r="I5">
        <v>1707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</row>
    <row r="6" spans="1:3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 t="s">
        <v>24</v>
      </c>
      <c r="I6">
        <v>1475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</row>
    <row r="7" spans="1:3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 t="s">
        <v>24</v>
      </c>
      <c r="I7">
        <v>1709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</row>
    <row r="8" spans="1:3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 t="s">
        <v>24</v>
      </c>
      <c r="I8" t="s">
        <v>36</v>
      </c>
      <c r="J8">
        <v>123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</row>
    <row r="9" spans="1:36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 t="s">
        <v>24</v>
      </c>
      <c r="I9" t="s">
        <v>36</v>
      </c>
      <c r="J9">
        <v>206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</row>
    <row r="10" spans="1:3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  <c r="H10" t="s">
        <v>24</v>
      </c>
      <c r="I10" t="s">
        <v>36</v>
      </c>
      <c r="J10">
        <v>612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</row>
    <row r="11" spans="1:3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5</v>
      </c>
      <c r="H11" t="s">
        <v>25</v>
      </c>
      <c r="I11" t="s">
        <v>36</v>
      </c>
      <c r="J11">
        <v>56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</row>
    <row r="12" spans="1:3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5</v>
      </c>
      <c r="H12" t="s">
        <v>25</v>
      </c>
      <c r="I12" t="s">
        <v>36</v>
      </c>
      <c r="J12">
        <v>176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</row>
    <row r="13" spans="1:3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5</v>
      </c>
      <c r="H13" t="s">
        <v>25</v>
      </c>
      <c r="I13" t="s">
        <v>36</v>
      </c>
      <c r="J13">
        <v>497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</row>
    <row r="14" spans="1:3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5</v>
      </c>
      <c r="H14" t="s">
        <v>25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>
        <v>25.8</v>
      </c>
      <c r="P14">
        <v>24.3</v>
      </c>
      <c r="Q14">
        <v>0.55000000000000004</v>
      </c>
      <c r="R14">
        <v>0.53</v>
      </c>
    </row>
    <row r="15" spans="1:3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 t="s">
        <v>24</v>
      </c>
      <c r="I15" t="s">
        <v>36</v>
      </c>
      <c r="J15" t="s">
        <v>36</v>
      </c>
      <c r="K15" t="s">
        <v>36</v>
      </c>
      <c r="L15" t="s">
        <v>36</v>
      </c>
      <c r="M15">
        <v>44.2</v>
      </c>
      <c r="N15">
        <v>40.6</v>
      </c>
      <c r="O15">
        <v>16.5</v>
      </c>
      <c r="P15">
        <v>15</v>
      </c>
      <c r="Q15">
        <v>0.373</v>
      </c>
      <c r="R15">
        <v>0.36899999999999999</v>
      </c>
    </row>
    <row r="16" spans="1:3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5</v>
      </c>
      <c r="H16" t="s">
        <v>25</v>
      </c>
      <c r="I16" t="s">
        <v>36</v>
      </c>
      <c r="J16" t="s">
        <v>36</v>
      </c>
      <c r="K16">
        <v>4.4999999999999998E-2</v>
      </c>
      <c r="L16">
        <v>3.1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</row>
    <row r="17" spans="1:18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5</v>
      </c>
      <c r="H17" t="s">
        <v>25</v>
      </c>
      <c r="I17" t="s">
        <v>36</v>
      </c>
      <c r="J17" t="s">
        <v>36</v>
      </c>
      <c r="K17">
        <v>3.2000000000000001E-2</v>
      </c>
      <c r="L17">
        <v>3.08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</row>
    <row r="18" spans="1: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5</v>
      </c>
      <c r="H18" t="s">
        <v>25</v>
      </c>
      <c r="I18" t="s">
        <v>36</v>
      </c>
      <c r="J18" t="s">
        <v>36</v>
      </c>
      <c r="K18">
        <v>3.2000000000000001E-2</v>
      </c>
      <c r="L18">
        <v>3.1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</row>
  </sheetData>
  <mergeCells count="8">
    <mergeCell ref="W1:Y1"/>
    <mergeCell ref="T2:V2"/>
    <mergeCell ref="W2:Y2"/>
    <mergeCell ref="A1:C1"/>
    <mergeCell ref="D1:F1"/>
    <mergeCell ref="A2:C2"/>
    <mergeCell ref="D2:F2"/>
    <mergeCell ref="T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DB36-FAA6-48B5-855C-E0CABD7AA20D}">
  <dimension ref="A1:AJ17"/>
  <sheetViews>
    <sheetView topLeftCell="S1" workbookViewId="0">
      <selection activeCell="V14" sqref="V14"/>
    </sheetView>
  </sheetViews>
  <sheetFormatPr defaultRowHeight="14.25"/>
  <cols>
    <col min="1" max="1" width="8.25" bestFit="1" customWidth="1"/>
    <col min="2" max="6" width="5.75" customWidth="1"/>
    <col min="7" max="7" width="16.125" bestFit="1" customWidth="1"/>
    <col min="8" max="8" width="13.5" bestFit="1" customWidth="1"/>
    <col min="9" max="9" width="20.75" bestFit="1" customWidth="1"/>
    <col min="10" max="10" width="25" bestFit="1" customWidth="1"/>
    <col min="11" max="11" width="22.375" bestFit="1" customWidth="1"/>
    <col min="12" max="12" width="18" bestFit="1" customWidth="1"/>
    <col min="13" max="14" width="10" bestFit="1" customWidth="1"/>
    <col min="15" max="15" width="18.25" bestFit="1" customWidth="1"/>
    <col min="16" max="16" width="11.25" bestFit="1" customWidth="1"/>
    <col min="17" max="18" width="11.5" bestFit="1" customWidth="1"/>
  </cols>
  <sheetData>
    <row r="1" spans="1:36" ht="60">
      <c r="A1" s="7" t="s">
        <v>0</v>
      </c>
      <c r="B1" s="7"/>
      <c r="C1" s="7"/>
      <c r="D1" s="7" t="s">
        <v>1</v>
      </c>
      <c r="E1" s="7"/>
      <c r="F1" s="7"/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8</v>
      </c>
      <c r="O1" s="2" t="s">
        <v>9</v>
      </c>
      <c r="P1" s="3" t="s">
        <v>9</v>
      </c>
      <c r="Q1" s="3" t="s">
        <v>10</v>
      </c>
      <c r="R1" s="3" t="s">
        <v>10</v>
      </c>
      <c r="T1" s="7" t="s">
        <v>0</v>
      </c>
      <c r="U1" s="7"/>
      <c r="V1" s="7"/>
      <c r="W1" s="7" t="s">
        <v>1</v>
      </c>
      <c r="X1" s="7"/>
      <c r="Y1" s="7"/>
      <c r="Z1" s="2" t="s">
        <v>2</v>
      </c>
      <c r="AA1" s="2" t="s">
        <v>3</v>
      </c>
      <c r="AB1" s="6" t="s">
        <v>4</v>
      </c>
      <c r="AC1" s="6" t="s">
        <v>28</v>
      </c>
      <c r="AD1" s="6" t="s">
        <v>29</v>
      </c>
      <c r="AE1" s="2" t="s">
        <v>6</v>
      </c>
      <c r="AF1" s="2" t="s">
        <v>7</v>
      </c>
      <c r="AG1" s="2" t="s">
        <v>8</v>
      </c>
      <c r="AH1" s="2" t="s">
        <v>8</v>
      </c>
      <c r="AI1" s="2" t="s">
        <v>9</v>
      </c>
      <c r="AJ1" s="3" t="s">
        <v>9</v>
      </c>
    </row>
    <row r="2" spans="1:36" ht="25.5" customHeight="1">
      <c r="A2" s="7" t="s">
        <v>11</v>
      </c>
      <c r="B2" s="7"/>
      <c r="C2" s="7"/>
      <c r="D2" s="7" t="s">
        <v>12</v>
      </c>
      <c r="E2" s="7"/>
      <c r="F2" s="7"/>
      <c r="G2" s="2" t="s">
        <v>13</v>
      </c>
      <c r="H2" s="2"/>
      <c r="I2" s="2" t="s">
        <v>14</v>
      </c>
      <c r="J2" s="2" t="s">
        <v>14</v>
      </c>
      <c r="K2" s="2"/>
      <c r="L2" s="2"/>
      <c r="M2" s="2" t="s">
        <v>15</v>
      </c>
      <c r="N2" s="4" t="s">
        <v>16</v>
      </c>
      <c r="O2" s="2" t="s">
        <v>17</v>
      </c>
      <c r="P2" s="3" t="s">
        <v>16</v>
      </c>
      <c r="Q2" s="3" t="s">
        <v>15</v>
      </c>
      <c r="R2" s="3" t="s">
        <v>16</v>
      </c>
      <c r="T2" s="8" t="s">
        <v>34</v>
      </c>
      <c r="U2" s="7"/>
      <c r="V2" s="7"/>
      <c r="W2" s="7" t="s">
        <v>12</v>
      </c>
      <c r="X2" s="7"/>
      <c r="Y2" s="7"/>
      <c r="Z2" s="2" t="s">
        <v>13</v>
      </c>
      <c r="AA2" s="2"/>
      <c r="AB2" s="2" t="s">
        <v>35</v>
      </c>
      <c r="AC2" s="2" t="s">
        <v>35</v>
      </c>
      <c r="AD2" s="2" t="s">
        <v>35</v>
      </c>
      <c r="AE2" s="2"/>
      <c r="AF2" s="2"/>
      <c r="AG2" s="2" t="s">
        <v>30</v>
      </c>
      <c r="AH2" s="4" t="s">
        <v>31</v>
      </c>
      <c r="AI2" s="2" t="s">
        <v>32</v>
      </c>
      <c r="AJ2" s="3" t="s">
        <v>33</v>
      </c>
    </row>
    <row r="3" spans="1:36" ht="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/>
      <c r="H3" s="2"/>
      <c r="I3" s="1"/>
      <c r="J3" s="1"/>
      <c r="K3" s="1"/>
      <c r="L3" s="1"/>
      <c r="M3" s="1"/>
      <c r="N3" s="1"/>
      <c r="O3" s="1"/>
      <c r="P3" s="5"/>
      <c r="Q3" s="5"/>
      <c r="R3" s="5"/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/>
      <c r="AA3" s="2"/>
      <c r="AB3" s="1"/>
      <c r="AC3" s="1"/>
      <c r="AD3" s="1"/>
      <c r="AE3" s="1"/>
      <c r="AF3" s="1"/>
      <c r="AG3" s="1"/>
      <c r="AH3" s="1"/>
      <c r="AI3" s="1"/>
      <c r="AJ3" s="5"/>
    </row>
    <row r="4" spans="1:36">
      <c r="A4">
        <v>0</v>
      </c>
      <c r="B4">
        <v>0</v>
      </c>
      <c r="C4">
        <v>5</v>
      </c>
      <c r="D4">
        <v>0</v>
      </c>
      <c r="E4">
        <v>0</v>
      </c>
      <c r="F4">
        <v>0</v>
      </c>
      <c r="G4">
        <v>0</v>
      </c>
      <c r="H4">
        <v>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T4">
        <v>0</v>
      </c>
      <c r="U4">
        <v>0</v>
      </c>
      <c r="V4">
        <v>15</v>
      </c>
      <c r="W4">
        <v>0</v>
      </c>
      <c r="X4">
        <v>0</v>
      </c>
      <c r="Y4">
        <v>0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</row>
    <row r="5" spans="1:36">
      <c r="A5">
        <v>0</v>
      </c>
      <c r="B5">
        <v>0</v>
      </c>
      <c r="C5">
        <v>5</v>
      </c>
      <c r="D5">
        <v>0</v>
      </c>
      <c r="E5">
        <v>0</v>
      </c>
      <c r="F5">
        <v>0</v>
      </c>
      <c r="G5">
        <v>5</v>
      </c>
      <c r="H5" t="s">
        <v>24</v>
      </c>
      <c r="I5">
        <v>1387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T5">
        <v>0</v>
      </c>
      <c r="U5">
        <v>0</v>
      </c>
      <c r="V5">
        <v>15</v>
      </c>
      <c r="W5">
        <v>0</v>
      </c>
      <c r="X5">
        <v>0</v>
      </c>
      <c r="Y5">
        <v>0</v>
      </c>
      <c r="Z5">
        <v>15</v>
      </c>
      <c r="AA5" t="s">
        <v>25</v>
      </c>
      <c r="AB5">
        <v>3.2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</row>
    <row r="6" spans="1:36">
      <c r="A6">
        <v>0</v>
      </c>
      <c r="B6">
        <v>0</v>
      </c>
      <c r="C6">
        <v>5</v>
      </c>
      <c r="D6">
        <v>0</v>
      </c>
      <c r="E6">
        <v>0</v>
      </c>
      <c r="F6">
        <v>0</v>
      </c>
      <c r="G6">
        <v>5</v>
      </c>
      <c r="H6" t="s">
        <v>24</v>
      </c>
      <c r="I6">
        <v>1329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T6">
        <v>0</v>
      </c>
      <c r="U6">
        <v>0</v>
      </c>
      <c r="V6">
        <v>15</v>
      </c>
      <c r="W6">
        <v>0</v>
      </c>
      <c r="X6">
        <v>0</v>
      </c>
      <c r="Y6">
        <v>0</v>
      </c>
      <c r="Z6">
        <v>15</v>
      </c>
      <c r="AA6" t="s">
        <v>25</v>
      </c>
      <c r="AB6">
        <v>2.91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</row>
    <row r="7" spans="1:36">
      <c r="A7">
        <v>0</v>
      </c>
      <c r="B7">
        <v>0</v>
      </c>
      <c r="C7">
        <v>5</v>
      </c>
      <c r="D7">
        <v>0</v>
      </c>
      <c r="E7">
        <v>0</v>
      </c>
      <c r="F7">
        <v>0</v>
      </c>
      <c r="G7">
        <v>5</v>
      </c>
      <c r="H7" t="s">
        <v>24</v>
      </c>
      <c r="I7">
        <v>1422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T7">
        <v>0</v>
      </c>
      <c r="U7">
        <v>0</v>
      </c>
      <c r="V7">
        <v>15</v>
      </c>
      <c r="W7">
        <v>0</v>
      </c>
      <c r="X7">
        <v>0</v>
      </c>
      <c r="Y7">
        <v>0</v>
      </c>
      <c r="Z7">
        <v>15</v>
      </c>
      <c r="AA7" t="s">
        <v>25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</row>
    <row r="8" spans="1:36">
      <c r="A8">
        <v>0</v>
      </c>
      <c r="B8">
        <v>0</v>
      </c>
      <c r="C8">
        <v>5</v>
      </c>
      <c r="D8">
        <v>0</v>
      </c>
      <c r="E8">
        <v>0</v>
      </c>
      <c r="F8">
        <v>0</v>
      </c>
      <c r="G8">
        <v>5</v>
      </c>
      <c r="H8" t="s">
        <v>24</v>
      </c>
      <c r="I8" t="s">
        <v>36</v>
      </c>
      <c r="J8">
        <v>155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T8">
        <v>0</v>
      </c>
      <c r="U8">
        <v>0</v>
      </c>
      <c r="V8">
        <v>15</v>
      </c>
      <c r="W8">
        <v>0</v>
      </c>
      <c r="X8">
        <v>0</v>
      </c>
      <c r="Y8">
        <v>0</v>
      </c>
      <c r="Z8">
        <v>15</v>
      </c>
      <c r="AA8" t="s">
        <v>25</v>
      </c>
      <c r="AB8" t="s">
        <v>36</v>
      </c>
      <c r="AC8">
        <v>0.17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</row>
    <row r="9" spans="1:36">
      <c r="A9">
        <v>0</v>
      </c>
      <c r="B9">
        <v>0</v>
      </c>
      <c r="C9">
        <v>5</v>
      </c>
      <c r="D9">
        <v>0</v>
      </c>
      <c r="E9">
        <v>0</v>
      </c>
      <c r="F9">
        <v>0</v>
      </c>
      <c r="G9">
        <v>5</v>
      </c>
      <c r="H9" t="s">
        <v>24</v>
      </c>
      <c r="I9" t="s">
        <v>36</v>
      </c>
      <c r="J9">
        <v>250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T9">
        <v>0</v>
      </c>
      <c r="U9">
        <v>0</v>
      </c>
      <c r="V9">
        <v>15</v>
      </c>
      <c r="W9">
        <v>0</v>
      </c>
      <c r="X9">
        <v>0</v>
      </c>
      <c r="Y9">
        <v>0</v>
      </c>
      <c r="Z9">
        <v>15</v>
      </c>
      <c r="AA9" t="s">
        <v>25</v>
      </c>
      <c r="AB9" t="s">
        <v>36</v>
      </c>
      <c r="AC9">
        <v>0.2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</row>
    <row r="10" spans="1:36">
      <c r="A10">
        <v>0</v>
      </c>
      <c r="B10">
        <v>0</v>
      </c>
      <c r="C10">
        <v>5</v>
      </c>
      <c r="D10">
        <v>0</v>
      </c>
      <c r="E10">
        <v>0</v>
      </c>
      <c r="F10">
        <v>0</v>
      </c>
      <c r="G10">
        <v>5</v>
      </c>
      <c r="H10" t="s">
        <v>24</v>
      </c>
      <c r="I10" t="s">
        <v>36</v>
      </c>
      <c r="J10">
        <v>835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T10">
        <v>0</v>
      </c>
      <c r="U10">
        <v>0</v>
      </c>
      <c r="V10">
        <v>15</v>
      </c>
      <c r="W10">
        <v>0</v>
      </c>
      <c r="X10">
        <v>0</v>
      </c>
      <c r="Y10">
        <v>0</v>
      </c>
      <c r="Z10">
        <v>15</v>
      </c>
      <c r="AA10" t="s">
        <v>25</v>
      </c>
      <c r="AB10" t="s">
        <v>36</v>
      </c>
      <c r="AC10">
        <v>0.35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</row>
    <row r="11" spans="1:36">
      <c r="A11">
        <v>0</v>
      </c>
      <c r="B11">
        <v>0</v>
      </c>
      <c r="C11">
        <v>5</v>
      </c>
      <c r="D11">
        <v>0</v>
      </c>
      <c r="E11">
        <v>0</v>
      </c>
      <c r="F11">
        <v>0</v>
      </c>
      <c r="G11">
        <v>5</v>
      </c>
      <c r="H11" t="s">
        <v>25</v>
      </c>
      <c r="I11" t="s">
        <v>36</v>
      </c>
      <c r="J11">
        <v>502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T11">
        <v>0</v>
      </c>
      <c r="U11">
        <v>0</v>
      </c>
      <c r="V11">
        <v>15</v>
      </c>
      <c r="W11">
        <v>0</v>
      </c>
      <c r="X11">
        <v>0</v>
      </c>
      <c r="Y11">
        <v>0</v>
      </c>
      <c r="Z11">
        <v>15</v>
      </c>
      <c r="AA11" t="s">
        <v>25</v>
      </c>
      <c r="AB11" t="s">
        <v>36</v>
      </c>
      <c r="AC11" t="s">
        <v>36</v>
      </c>
      <c r="AD11">
        <v>3.99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</row>
    <row r="12" spans="1:36">
      <c r="A12">
        <v>0</v>
      </c>
      <c r="B12">
        <v>0</v>
      </c>
      <c r="C12">
        <v>5</v>
      </c>
      <c r="D12">
        <v>0</v>
      </c>
      <c r="E12">
        <v>0</v>
      </c>
      <c r="F12">
        <v>0</v>
      </c>
      <c r="G12">
        <v>5</v>
      </c>
      <c r="H12" t="s">
        <v>25</v>
      </c>
      <c r="I12" t="s">
        <v>36</v>
      </c>
      <c r="J12">
        <v>704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T12">
        <v>0</v>
      </c>
      <c r="U12">
        <v>0</v>
      </c>
      <c r="V12">
        <v>15</v>
      </c>
      <c r="W12">
        <v>0</v>
      </c>
      <c r="X12">
        <v>0</v>
      </c>
      <c r="Y12">
        <v>0</v>
      </c>
      <c r="Z12">
        <v>15</v>
      </c>
      <c r="AA12" t="s">
        <v>25</v>
      </c>
      <c r="AB12" t="s">
        <v>36</v>
      </c>
      <c r="AC12" t="s">
        <v>36</v>
      </c>
      <c r="AD12">
        <v>3.87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</row>
    <row r="13" spans="1:36">
      <c r="A13">
        <v>0</v>
      </c>
      <c r="B13">
        <v>0</v>
      </c>
      <c r="C13">
        <v>5</v>
      </c>
      <c r="D13">
        <v>0</v>
      </c>
      <c r="E13">
        <v>0</v>
      </c>
      <c r="F13">
        <v>0</v>
      </c>
      <c r="G13">
        <v>5</v>
      </c>
      <c r="H13" t="s">
        <v>25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>
        <v>24.7</v>
      </c>
      <c r="P13">
        <v>22.6</v>
      </c>
      <c r="Q13">
        <v>0.56000000000000005</v>
      </c>
      <c r="R13">
        <v>0.52</v>
      </c>
      <c r="T13">
        <v>0</v>
      </c>
      <c r="U13">
        <v>0</v>
      </c>
      <c r="V13">
        <v>15</v>
      </c>
      <c r="W13">
        <v>0</v>
      </c>
      <c r="X13">
        <v>0</v>
      </c>
      <c r="Y13">
        <v>0</v>
      </c>
      <c r="Z13">
        <v>15</v>
      </c>
      <c r="AA13" t="s">
        <v>25</v>
      </c>
      <c r="AB13" t="s">
        <v>36</v>
      </c>
      <c r="AC13" t="s">
        <v>36</v>
      </c>
      <c r="AD13">
        <v>4.71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</row>
    <row r="14" spans="1:36">
      <c r="A14">
        <v>0</v>
      </c>
      <c r="B14">
        <v>0</v>
      </c>
      <c r="C14">
        <v>5</v>
      </c>
      <c r="D14">
        <v>0</v>
      </c>
      <c r="E14">
        <v>0</v>
      </c>
      <c r="F14">
        <v>0</v>
      </c>
      <c r="G14">
        <v>5</v>
      </c>
      <c r="H14" t="s">
        <v>24</v>
      </c>
      <c r="I14" t="s">
        <v>36</v>
      </c>
      <c r="J14" t="s">
        <v>36</v>
      </c>
      <c r="K14" t="s">
        <v>36</v>
      </c>
      <c r="L14" t="s">
        <v>36</v>
      </c>
      <c r="M14">
        <v>44.9</v>
      </c>
      <c r="N14">
        <v>42.3</v>
      </c>
      <c r="O14">
        <v>15</v>
      </c>
      <c r="P14">
        <v>16.5</v>
      </c>
      <c r="Q14">
        <v>0.33400000000000002</v>
      </c>
      <c r="R14">
        <v>0.39</v>
      </c>
      <c r="T14">
        <v>0</v>
      </c>
      <c r="U14">
        <v>0</v>
      </c>
      <c r="V14">
        <v>15</v>
      </c>
      <c r="W14">
        <v>0</v>
      </c>
      <c r="X14">
        <v>0</v>
      </c>
      <c r="Y14">
        <v>0</v>
      </c>
      <c r="Z14">
        <v>15</v>
      </c>
      <c r="AA14" t="s">
        <v>25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>
        <v>46</v>
      </c>
      <c r="AH14">
        <v>51.9</v>
      </c>
      <c r="AI14">
        <v>25.6</v>
      </c>
      <c r="AJ14">
        <v>28.5</v>
      </c>
    </row>
    <row r="15" spans="1:36">
      <c r="A15">
        <v>0</v>
      </c>
      <c r="B15">
        <v>0</v>
      </c>
      <c r="C15">
        <v>5</v>
      </c>
      <c r="D15">
        <v>0</v>
      </c>
      <c r="E15">
        <v>0</v>
      </c>
      <c r="F15">
        <v>0</v>
      </c>
      <c r="G15">
        <v>5</v>
      </c>
      <c r="H15" t="s">
        <v>25</v>
      </c>
      <c r="I15" t="s">
        <v>36</v>
      </c>
      <c r="J15" t="s">
        <v>36</v>
      </c>
      <c r="K15">
        <v>1.6E-2</v>
      </c>
      <c r="L15">
        <v>5.24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T15">
        <v>0</v>
      </c>
      <c r="U15">
        <v>0</v>
      </c>
      <c r="V15">
        <v>15</v>
      </c>
      <c r="W15">
        <v>0</v>
      </c>
      <c r="X15">
        <v>0</v>
      </c>
      <c r="Y15">
        <v>0</v>
      </c>
      <c r="Z15">
        <v>15</v>
      </c>
      <c r="AA15" t="s">
        <v>25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>
        <v>42.9</v>
      </c>
      <c r="AH15">
        <v>46</v>
      </c>
      <c r="AI15">
        <v>22</v>
      </c>
      <c r="AJ15">
        <v>25.4</v>
      </c>
    </row>
    <row r="16" spans="1:36">
      <c r="A16">
        <v>0</v>
      </c>
      <c r="B16">
        <v>0</v>
      </c>
      <c r="C16">
        <v>5</v>
      </c>
      <c r="D16">
        <v>0</v>
      </c>
      <c r="E16">
        <v>0</v>
      </c>
      <c r="F16">
        <v>0</v>
      </c>
      <c r="G16">
        <v>5</v>
      </c>
      <c r="H16" t="s">
        <v>25</v>
      </c>
      <c r="I16" t="s">
        <v>36</v>
      </c>
      <c r="J16" t="s">
        <v>36</v>
      </c>
      <c r="K16">
        <v>0.104</v>
      </c>
      <c r="L16">
        <v>5.69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T16">
        <v>0</v>
      </c>
      <c r="U16">
        <v>0</v>
      </c>
      <c r="V16">
        <v>15</v>
      </c>
      <c r="W16">
        <v>0</v>
      </c>
      <c r="X16">
        <v>0</v>
      </c>
      <c r="Y16">
        <v>0</v>
      </c>
      <c r="Z16">
        <v>15</v>
      </c>
      <c r="AA16" t="s">
        <v>25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</row>
    <row r="17" spans="1:18">
      <c r="A17">
        <v>0</v>
      </c>
      <c r="B17">
        <v>0</v>
      </c>
      <c r="C17">
        <v>5</v>
      </c>
      <c r="D17">
        <v>0</v>
      </c>
      <c r="E17">
        <v>0</v>
      </c>
      <c r="F17">
        <v>0</v>
      </c>
      <c r="G17">
        <v>5</v>
      </c>
      <c r="H17" t="s">
        <v>25</v>
      </c>
      <c r="I17" t="s">
        <v>36</v>
      </c>
      <c r="J17" t="s">
        <v>36</v>
      </c>
      <c r="K17">
        <v>0.187</v>
      </c>
      <c r="L17">
        <v>6.14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</row>
  </sheetData>
  <mergeCells count="8">
    <mergeCell ref="T2:V2"/>
    <mergeCell ref="W2:Y2"/>
    <mergeCell ref="A1:C1"/>
    <mergeCell ref="D1:F1"/>
    <mergeCell ref="A2:C2"/>
    <mergeCell ref="D2:F2"/>
    <mergeCell ref="T1:V1"/>
    <mergeCell ref="W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AABC-0FDF-46C6-BAB0-B24C010538EE}">
  <dimension ref="A1:AJ20"/>
  <sheetViews>
    <sheetView topLeftCell="N1" workbookViewId="0">
      <selection activeCell="P16" sqref="P16"/>
    </sheetView>
  </sheetViews>
  <sheetFormatPr defaultRowHeight="14.25"/>
  <cols>
    <col min="1" max="1" width="8.25" bestFit="1" customWidth="1"/>
    <col min="2" max="6" width="5.75" customWidth="1"/>
    <col min="7" max="7" width="16.125" bestFit="1" customWidth="1"/>
    <col min="8" max="8" width="13.5" bestFit="1" customWidth="1"/>
    <col min="9" max="9" width="20.75" bestFit="1" customWidth="1"/>
    <col min="10" max="10" width="25" bestFit="1" customWidth="1"/>
    <col min="11" max="11" width="22.375" bestFit="1" customWidth="1"/>
    <col min="12" max="12" width="18" bestFit="1" customWidth="1"/>
    <col min="13" max="14" width="10" bestFit="1" customWidth="1"/>
    <col min="15" max="15" width="18.25" bestFit="1" customWidth="1"/>
    <col min="16" max="16" width="11.25" bestFit="1" customWidth="1"/>
    <col min="17" max="18" width="11.5" bestFit="1" customWidth="1"/>
  </cols>
  <sheetData>
    <row r="1" spans="1:36" ht="60">
      <c r="A1" s="7" t="s">
        <v>0</v>
      </c>
      <c r="B1" s="7"/>
      <c r="C1" s="7"/>
      <c r="D1" s="7" t="s">
        <v>1</v>
      </c>
      <c r="E1" s="7"/>
      <c r="F1" s="7"/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8</v>
      </c>
      <c r="O1" s="2" t="s">
        <v>9</v>
      </c>
      <c r="P1" s="3" t="s">
        <v>9</v>
      </c>
      <c r="Q1" s="3" t="s">
        <v>10</v>
      </c>
      <c r="R1" s="3" t="s">
        <v>10</v>
      </c>
      <c r="T1" s="7" t="s">
        <v>0</v>
      </c>
      <c r="U1" s="7"/>
      <c r="V1" s="7"/>
      <c r="W1" s="7" t="s">
        <v>1</v>
      </c>
      <c r="X1" s="7"/>
      <c r="Y1" s="7"/>
      <c r="Z1" s="2" t="s">
        <v>2</v>
      </c>
      <c r="AA1" s="2" t="s">
        <v>3</v>
      </c>
      <c r="AB1" s="6" t="s">
        <v>4</v>
      </c>
      <c r="AC1" s="6" t="s">
        <v>28</v>
      </c>
      <c r="AD1" s="6" t="s">
        <v>29</v>
      </c>
      <c r="AE1" s="2" t="s">
        <v>6</v>
      </c>
      <c r="AF1" s="2" t="s">
        <v>7</v>
      </c>
      <c r="AG1" s="2" t="s">
        <v>8</v>
      </c>
      <c r="AH1" s="2" t="s">
        <v>8</v>
      </c>
      <c r="AI1" s="2" t="s">
        <v>9</v>
      </c>
      <c r="AJ1" s="3" t="s">
        <v>9</v>
      </c>
    </row>
    <row r="2" spans="1:36" ht="25.5">
      <c r="A2" s="7" t="s">
        <v>11</v>
      </c>
      <c r="B2" s="7"/>
      <c r="C2" s="7"/>
      <c r="D2" s="7" t="s">
        <v>12</v>
      </c>
      <c r="E2" s="7"/>
      <c r="F2" s="7"/>
      <c r="G2" s="2" t="s">
        <v>13</v>
      </c>
      <c r="H2" s="2"/>
      <c r="I2" s="2" t="s">
        <v>14</v>
      </c>
      <c r="J2" s="2" t="s">
        <v>14</v>
      </c>
      <c r="K2" s="2"/>
      <c r="L2" s="2"/>
      <c r="M2" s="2" t="s">
        <v>15</v>
      </c>
      <c r="N2" s="4" t="s">
        <v>16</v>
      </c>
      <c r="O2" s="2" t="s">
        <v>17</v>
      </c>
      <c r="P2" s="3" t="s">
        <v>16</v>
      </c>
      <c r="Q2" s="3" t="s">
        <v>15</v>
      </c>
      <c r="R2" s="3" t="s">
        <v>16</v>
      </c>
      <c r="T2" s="8" t="s">
        <v>34</v>
      </c>
      <c r="U2" s="7"/>
      <c r="V2" s="7"/>
      <c r="W2" s="7" t="s">
        <v>12</v>
      </c>
      <c r="X2" s="7"/>
      <c r="Y2" s="7"/>
      <c r="Z2" s="2" t="s">
        <v>13</v>
      </c>
      <c r="AA2" s="2"/>
      <c r="AB2" s="2" t="s">
        <v>35</v>
      </c>
      <c r="AC2" s="2" t="s">
        <v>35</v>
      </c>
      <c r="AD2" s="2" t="s">
        <v>35</v>
      </c>
      <c r="AE2" s="2"/>
      <c r="AF2" s="2"/>
      <c r="AG2" s="2" t="s">
        <v>30</v>
      </c>
      <c r="AH2" s="4" t="s">
        <v>31</v>
      </c>
      <c r="AI2" s="2" t="s">
        <v>32</v>
      </c>
      <c r="AJ2" s="3" t="s">
        <v>33</v>
      </c>
    </row>
    <row r="3" spans="1:36" ht="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/>
      <c r="H3" s="2"/>
      <c r="I3" s="1"/>
      <c r="J3" s="1"/>
      <c r="K3" s="1"/>
      <c r="L3" s="1"/>
      <c r="M3" s="1"/>
      <c r="N3" s="1"/>
      <c r="O3" s="1"/>
      <c r="P3" s="5"/>
      <c r="Q3" s="5"/>
      <c r="R3" s="5"/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/>
      <c r="AA3" s="2"/>
      <c r="AB3" s="1"/>
      <c r="AC3" s="1"/>
      <c r="AD3" s="1"/>
      <c r="AE3" s="1"/>
      <c r="AF3" s="1"/>
      <c r="AG3" s="1"/>
      <c r="AH3" s="1"/>
      <c r="AI3" s="1"/>
      <c r="AJ3" s="5"/>
    </row>
    <row r="4" spans="1:36">
      <c r="A4">
        <v>0</v>
      </c>
      <c r="B4">
        <v>0</v>
      </c>
      <c r="C4">
        <v>0</v>
      </c>
      <c r="D4">
        <v>0</v>
      </c>
      <c r="E4">
        <v>0</v>
      </c>
      <c r="F4">
        <v>0.3</v>
      </c>
      <c r="G4">
        <v>0</v>
      </c>
      <c r="H4">
        <v>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T4">
        <v>0</v>
      </c>
      <c r="U4">
        <v>0</v>
      </c>
      <c r="V4">
        <v>0</v>
      </c>
      <c r="W4">
        <v>0</v>
      </c>
      <c r="X4">
        <v>0</v>
      </c>
      <c r="Y4">
        <v>0.3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</row>
    <row r="5" spans="1:36">
      <c r="A5">
        <v>0</v>
      </c>
      <c r="B5">
        <v>0</v>
      </c>
      <c r="C5">
        <v>0</v>
      </c>
      <c r="D5">
        <v>0</v>
      </c>
      <c r="E5">
        <v>0</v>
      </c>
      <c r="F5">
        <v>0.3</v>
      </c>
      <c r="G5">
        <v>5</v>
      </c>
      <c r="H5" t="s">
        <v>24</v>
      </c>
      <c r="I5">
        <v>2064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T5">
        <v>0</v>
      </c>
      <c r="U5">
        <v>0</v>
      </c>
      <c r="V5">
        <v>0</v>
      </c>
      <c r="W5">
        <v>0</v>
      </c>
      <c r="X5">
        <v>0</v>
      </c>
      <c r="Y5">
        <v>0.3</v>
      </c>
      <c r="Z5">
        <v>15</v>
      </c>
      <c r="AA5" t="s">
        <v>25</v>
      </c>
      <c r="AB5">
        <v>3.02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</row>
    <row r="6" spans="1:36">
      <c r="A6">
        <v>0</v>
      </c>
      <c r="B6">
        <v>0</v>
      </c>
      <c r="C6">
        <v>0</v>
      </c>
      <c r="D6">
        <v>0</v>
      </c>
      <c r="E6">
        <v>0</v>
      </c>
      <c r="F6">
        <v>0.3</v>
      </c>
      <c r="G6">
        <v>5</v>
      </c>
      <c r="H6" t="s">
        <v>24</v>
      </c>
      <c r="I6">
        <v>1799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T6">
        <v>0</v>
      </c>
      <c r="U6">
        <v>0</v>
      </c>
      <c r="V6">
        <v>0</v>
      </c>
      <c r="W6">
        <v>0</v>
      </c>
      <c r="X6">
        <v>0</v>
      </c>
      <c r="Y6">
        <v>0.3</v>
      </c>
      <c r="Z6">
        <v>15</v>
      </c>
      <c r="AA6" t="s">
        <v>25</v>
      </c>
      <c r="AB6">
        <v>3.49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</row>
    <row r="7" spans="1:36">
      <c r="A7">
        <v>0</v>
      </c>
      <c r="B7">
        <v>0</v>
      </c>
      <c r="C7">
        <v>0</v>
      </c>
      <c r="D7">
        <v>0</v>
      </c>
      <c r="E7">
        <v>0</v>
      </c>
      <c r="F7">
        <v>0.3</v>
      </c>
      <c r="G7">
        <v>5</v>
      </c>
      <c r="H7" t="s">
        <v>24</v>
      </c>
      <c r="I7">
        <v>1475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T7">
        <v>0</v>
      </c>
      <c r="U7">
        <v>0</v>
      </c>
      <c r="V7">
        <v>0</v>
      </c>
      <c r="W7">
        <v>0</v>
      </c>
      <c r="X7">
        <v>0</v>
      </c>
      <c r="Y7">
        <v>0.3</v>
      </c>
      <c r="Z7">
        <v>15</v>
      </c>
      <c r="AA7" t="s">
        <v>25</v>
      </c>
      <c r="AB7">
        <v>3.32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</row>
    <row r="8" spans="1:36">
      <c r="A8">
        <v>0</v>
      </c>
      <c r="B8">
        <v>0</v>
      </c>
      <c r="C8">
        <v>0</v>
      </c>
      <c r="D8">
        <v>0</v>
      </c>
      <c r="E8">
        <v>0</v>
      </c>
      <c r="F8">
        <v>0.3</v>
      </c>
      <c r="G8">
        <v>5</v>
      </c>
      <c r="H8" t="s">
        <v>24</v>
      </c>
      <c r="I8" t="s">
        <v>36</v>
      </c>
      <c r="J8">
        <v>120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T8">
        <v>0</v>
      </c>
      <c r="U8">
        <v>0</v>
      </c>
      <c r="V8">
        <v>0</v>
      </c>
      <c r="W8">
        <v>0</v>
      </c>
      <c r="X8">
        <v>0</v>
      </c>
      <c r="Y8">
        <v>0.3</v>
      </c>
      <c r="Z8">
        <v>15</v>
      </c>
      <c r="AA8" t="s">
        <v>25</v>
      </c>
      <c r="AB8" t="s">
        <v>36</v>
      </c>
      <c r="AC8">
        <v>0.19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</row>
    <row r="9" spans="1:36">
      <c r="A9">
        <v>0</v>
      </c>
      <c r="B9">
        <v>0</v>
      </c>
      <c r="C9">
        <v>0</v>
      </c>
      <c r="D9">
        <v>0</v>
      </c>
      <c r="E9">
        <v>0</v>
      </c>
      <c r="F9">
        <v>0.3</v>
      </c>
      <c r="G9">
        <v>5</v>
      </c>
      <c r="H9" t="s">
        <v>24</v>
      </c>
      <c r="I9" t="s">
        <v>36</v>
      </c>
      <c r="J9">
        <v>43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T9">
        <v>0</v>
      </c>
      <c r="U9">
        <v>0</v>
      </c>
      <c r="V9">
        <v>0</v>
      </c>
      <c r="W9">
        <v>0</v>
      </c>
      <c r="X9">
        <v>0</v>
      </c>
      <c r="Y9">
        <v>0.3</v>
      </c>
      <c r="Z9">
        <v>15</v>
      </c>
      <c r="AA9" t="s">
        <v>25</v>
      </c>
      <c r="AB9" t="s">
        <v>36</v>
      </c>
      <c r="AC9">
        <v>0.28999999999999998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</row>
    <row r="10" spans="1:36">
      <c r="A10">
        <v>0</v>
      </c>
      <c r="B10">
        <v>0</v>
      </c>
      <c r="C10">
        <v>0</v>
      </c>
      <c r="D10">
        <v>0</v>
      </c>
      <c r="E10">
        <v>0</v>
      </c>
      <c r="F10">
        <v>0.3</v>
      </c>
      <c r="G10">
        <v>5</v>
      </c>
      <c r="H10" t="s">
        <v>24</v>
      </c>
      <c r="I10" t="s">
        <v>36</v>
      </c>
      <c r="J10">
        <v>567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T10">
        <v>0</v>
      </c>
      <c r="U10">
        <v>0</v>
      </c>
      <c r="V10">
        <v>0</v>
      </c>
      <c r="W10">
        <v>0</v>
      </c>
      <c r="X10">
        <v>0</v>
      </c>
      <c r="Y10">
        <v>0.3</v>
      </c>
      <c r="Z10">
        <v>15</v>
      </c>
      <c r="AA10" t="s">
        <v>25</v>
      </c>
      <c r="AB10" t="s">
        <v>36</v>
      </c>
      <c r="AC10">
        <v>0.22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</row>
    <row r="11" spans="1:36">
      <c r="A11">
        <v>0</v>
      </c>
      <c r="B11">
        <v>0</v>
      </c>
      <c r="C11">
        <v>0</v>
      </c>
      <c r="D11">
        <v>0</v>
      </c>
      <c r="E11">
        <v>0</v>
      </c>
      <c r="F11">
        <v>0.3</v>
      </c>
      <c r="G11">
        <v>5</v>
      </c>
      <c r="H11" t="s">
        <v>25</v>
      </c>
      <c r="I11" t="s">
        <v>36</v>
      </c>
      <c r="J11">
        <v>189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T11">
        <v>0</v>
      </c>
      <c r="U11">
        <v>0</v>
      </c>
      <c r="V11">
        <v>0</v>
      </c>
      <c r="W11">
        <v>0</v>
      </c>
      <c r="X11">
        <v>0</v>
      </c>
      <c r="Y11">
        <v>0.3</v>
      </c>
      <c r="Z11">
        <v>15</v>
      </c>
      <c r="AA11" t="s">
        <v>25</v>
      </c>
      <c r="AB11" t="s">
        <v>36</v>
      </c>
      <c r="AC11" t="s">
        <v>36</v>
      </c>
      <c r="AD11">
        <v>3.85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</row>
    <row r="12" spans="1:36">
      <c r="A12">
        <v>0</v>
      </c>
      <c r="B12">
        <v>0</v>
      </c>
      <c r="C12">
        <v>0</v>
      </c>
      <c r="D12">
        <v>0</v>
      </c>
      <c r="E12">
        <v>0</v>
      </c>
      <c r="F12">
        <v>0.3</v>
      </c>
      <c r="G12">
        <v>5</v>
      </c>
      <c r="H12" t="s">
        <v>25</v>
      </c>
      <c r="I12" t="s">
        <v>36</v>
      </c>
      <c r="J12">
        <v>473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T12">
        <v>0</v>
      </c>
      <c r="U12">
        <v>0</v>
      </c>
      <c r="V12">
        <v>0</v>
      </c>
      <c r="W12">
        <v>0</v>
      </c>
      <c r="X12">
        <v>0</v>
      </c>
      <c r="Y12">
        <v>0.3</v>
      </c>
      <c r="Z12">
        <v>15</v>
      </c>
      <c r="AA12" t="s">
        <v>25</v>
      </c>
      <c r="AB12" t="s">
        <v>36</v>
      </c>
      <c r="AC12" t="s">
        <v>36</v>
      </c>
      <c r="AD12">
        <v>4.32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</row>
    <row r="13" spans="1:36">
      <c r="A13">
        <v>0</v>
      </c>
      <c r="B13">
        <v>0</v>
      </c>
      <c r="C13">
        <v>0</v>
      </c>
      <c r="D13">
        <v>0</v>
      </c>
      <c r="E13">
        <v>0</v>
      </c>
      <c r="F13">
        <v>0.3</v>
      </c>
      <c r="G13">
        <v>5</v>
      </c>
      <c r="H13" t="s">
        <v>25</v>
      </c>
      <c r="I13" t="s">
        <v>36</v>
      </c>
      <c r="J13">
        <v>483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T13">
        <v>0</v>
      </c>
      <c r="U13">
        <v>0</v>
      </c>
      <c r="V13">
        <v>0</v>
      </c>
      <c r="W13">
        <v>0</v>
      </c>
      <c r="X13">
        <v>0</v>
      </c>
      <c r="Y13">
        <v>0.3</v>
      </c>
      <c r="Z13">
        <v>15</v>
      </c>
      <c r="AA13" t="s">
        <v>25</v>
      </c>
      <c r="AB13" t="s">
        <v>36</v>
      </c>
      <c r="AC13" t="s">
        <v>36</v>
      </c>
      <c r="AD13">
        <v>4.1900000000000004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</row>
    <row r="14" spans="1:36">
      <c r="A14">
        <v>0</v>
      </c>
      <c r="B14">
        <v>0</v>
      </c>
      <c r="C14">
        <v>0</v>
      </c>
      <c r="D14">
        <v>0</v>
      </c>
      <c r="E14">
        <v>0</v>
      </c>
      <c r="F14">
        <v>0.3</v>
      </c>
      <c r="G14">
        <v>5</v>
      </c>
      <c r="H14" t="s">
        <v>25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>
        <v>47.4</v>
      </c>
      <c r="P14">
        <v>6.5</v>
      </c>
      <c r="Q14">
        <v>0.86</v>
      </c>
      <c r="R14">
        <v>0.25</v>
      </c>
      <c r="T14">
        <v>0</v>
      </c>
      <c r="U14">
        <v>0</v>
      </c>
      <c r="V14">
        <v>0</v>
      </c>
      <c r="W14">
        <v>0</v>
      </c>
      <c r="X14">
        <v>0</v>
      </c>
      <c r="Y14">
        <v>0.3</v>
      </c>
      <c r="Z14">
        <v>15</v>
      </c>
      <c r="AA14" t="s">
        <v>25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>
        <v>47.7</v>
      </c>
      <c r="AH14">
        <v>50.6</v>
      </c>
      <c r="AI14">
        <v>38.5</v>
      </c>
      <c r="AJ14">
        <v>19</v>
      </c>
    </row>
    <row r="15" spans="1:36">
      <c r="A15">
        <v>0</v>
      </c>
      <c r="B15">
        <v>0</v>
      </c>
      <c r="C15">
        <v>0</v>
      </c>
      <c r="D15">
        <v>0</v>
      </c>
      <c r="E15">
        <v>0</v>
      </c>
      <c r="F15">
        <v>0.3</v>
      </c>
      <c r="G15">
        <v>5</v>
      </c>
      <c r="H15" t="s">
        <v>24</v>
      </c>
      <c r="I15" t="s">
        <v>36</v>
      </c>
      <c r="J15" t="s">
        <v>36</v>
      </c>
      <c r="K15" t="s">
        <v>36</v>
      </c>
      <c r="L15" t="s">
        <v>36</v>
      </c>
      <c r="M15">
        <v>40</v>
      </c>
      <c r="N15">
        <v>37</v>
      </c>
      <c r="O15">
        <v>21</v>
      </c>
      <c r="P15">
        <v>10</v>
      </c>
      <c r="Q15">
        <v>0.52500000000000002</v>
      </c>
      <c r="R15">
        <v>0.27</v>
      </c>
      <c r="T15">
        <v>0</v>
      </c>
      <c r="U15">
        <v>0</v>
      </c>
      <c r="V15">
        <v>0</v>
      </c>
      <c r="W15">
        <v>0</v>
      </c>
      <c r="X15">
        <v>0</v>
      </c>
      <c r="Y15">
        <v>0.4</v>
      </c>
      <c r="Z15">
        <v>15</v>
      </c>
      <c r="AA15" t="s">
        <v>25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>
        <v>55.9</v>
      </c>
      <c r="AH15">
        <v>54.2</v>
      </c>
      <c r="AI15">
        <v>43.4</v>
      </c>
      <c r="AJ15">
        <v>23.1</v>
      </c>
    </row>
    <row r="16" spans="1:36">
      <c r="A16">
        <v>0</v>
      </c>
      <c r="B16">
        <v>0</v>
      </c>
      <c r="C16">
        <v>0</v>
      </c>
      <c r="D16">
        <v>0</v>
      </c>
      <c r="E16">
        <v>0</v>
      </c>
      <c r="F16">
        <v>0.3</v>
      </c>
      <c r="G16">
        <v>5</v>
      </c>
      <c r="H16" t="s">
        <v>25</v>
      </c>
      <c r="I16" t="s">
        <v>36</v>
      </c>
      <c r="J16" t="s">
        <v>36</v>
      </c>
      <c r="K16">
        <v>3.2000000000000001E-2</v>
      </c>
      <c r="L16">
        <v>2.89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T16">
        <v>0</v>
      </c>
      <c r="U16">
        <v>0</v>
      </c>
      <c r="V16">
        <v>0</v>
      </c>
      <c r="W16">
        <v>0</v>
      </c>
      <c r="X16">
        <v>0</v>
      </c>
      <c r="Y16">
        <v>0.3</v>
      </c>
      <c r="Z16">
        <v>15</v>
      </c>
      <c r="AA16" t="s">
        <v>25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</row>
    <row r="17" spans="1:18">
      <c r="A17">
        <v>0</v>
      </c>
      <c r="B17">
        <v>0</v>
      </c>
      <c r="C17">
        <v>0</v>
      </c>
      <c r="D17">
        <v>0</v>
      </c>
      <c r="E17">
        <v>0</v>
      </c>
      <c r="F17">
        <v>0.3</v>
      </c>
      <c r="G17">
        <v>5</v>
      </c>
      <c r="H17" t="s">
        <v>25</v>
      </c>
      <c r="I17" t="s">
        <v>36</v>
      </c>
      <c r="J17" t="s">
        <v>36</v>
      </c>
      <c r="K17">
        <v>5.2999999999999999E-2</v>
      </c>
      <c r="L17">
        <v>3.53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</row>
    <row r="18" spans="1:18">
      <c r="A18">
        <v>0</v>
      </c>
      <c r="B18">
        <v>0</v>
      </c>
      <c r="C18">
        <v>0</v>
      </c>
      <c r="D18">
        <v>0</v>
      </c>
      <c r="E18">
        <v>0</v>
      </c>
      <c r="F18">
        <v>0.3</v>
      </c>
      <c r="G18">
        <v>5</v>
      </c>
      <c r="H18" t="s">
        <v>25</v>
      </c>
      <c r="I18" t="s">
        <v>36</v>
      </c>
      <c r="J18" t="s">
        <v>36</v>
      </c>
      <c r="K18">
        <v>0.13</v>
      </c>
      <c r="L18">
        <v>4.34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</row>
    <row r="19" spans="1:18">
      <c r="A19">
        <v>0</v>
      </c>
      <c r="B19">
        <v>0</v>
      </c>
      <c r="C19">
        <v>0</v>
      </c>
      <c r="D19">
        <v>0</v>
      </c>
      <c r="E19">
        <v>0</v>
      </c>
      <c r="F19">
        <v>0.3</v>
      </c>
      <c r="G19">
        <v>5</v>
      </c>
      <c r="H19" t="s">
        <v>25</v>
      </c>
      <c r="I19" t="s">
        <v>36</v>
      </c>
      <c r="J19" t="s">
        <v>36</v>
      </c>
      <c r="K19">
        <v>3.2000000000000001E-2</v>
      </c>
      <c r="L19">
        <v>3.12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</row>
    <row r="20" spans="1:18">
      <c r="A20">
        <v>0</v>
      </c>
      <c r="B20">
        <v>0</v>
      </c>
      <c r="C20">
        <v>0</v>
      </c>
      <c r="D20">
        <v>0</v>
      </c>
      <c r="E20">
        <v>0</v>
      </c>
      <c r="F20">
        <v>0.3</v>
      </c>
      <c r="G20">
        <v>5</v>
      </c>
      <c r="H20" t="s">
        <v>25</v>
      </c>
      <c r="I20" t="s">
        <v>36</v>
      </c>
      <c r="J20" t="s">
        <v>36</v>
      </c>
      <c r="K20">
        <v>5.2999999999999999E-2</v>
      </c>
      <c r="L20">
        <v>3.36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</row>
  </sheetData>
  <mergeCells count="8">
    <mergeCell ref="W1:Y1"/>
    <mergeCell ref="T2:V2"/>
    <mergeCell ref="W2:Y2"/>
    <mergeCell ref="A1:C1"/>
    <mergeCell ref="D1:F1"/>
    <mergeCell ref="A2:C2"/>
    <mergeCell ref="D2:F2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8813-97FF-49AF-975E-7E921CBC1D9E}">
  <dimension ref="A1:AJ16"/>
  <sheetViews>
    <sheetView topLeftCell="N1" workbookViewId="0">
      <selection activeCell="Q16" sqref="Q16"/>
    </sheetView>
  </sheetViews>
  <sheetFormatPr defaultRowHeight="14.25"/>
  <cols>
    <col min="1" max="1" width="8.25" bestFit="1" customWidth="1"/>
    <col min="2" max="6" width="5.75" customWidth="1"/>
    <col min="7" max="7" width="16.125" bestFit="1" customWidth="1"/>
    <col min="8" max="8" width="13.5" bestFit="1" customWidth="1"/>
    <col min="9" max="9" width="20.75" bestFit="1" customWidth="1"/>
    <col min="10" max="10" width="25" bestFit="1" customWidth="1"/>
    <col min="11" max="11" width="22.375" bestFit="1" customWidth="1"/>
    <col min="12" max="12" width="18" bestFit="1" customWidth="1"/>
    <col min="13" max="14" width="10" bestFit="1" customWidth="1"/>
    <col min="15" max="15" width="18.25" bestFit="1" customWidth="1"/>
    <col min="16" max="16" width="11.25" bestFit="1" customWidth="1"/>
    <col min="17" max="18" width="11.5" bestFit="1" customWidth="1"/>
  </cols>
  <sheetData>
    <row r="1" spans="1:36" ht="60">
      <c r="A1" s="7" t="s">
        <v>0</v>
      </c>
      <c r="B1" s="7"/>
      <c r="C1" s="7"/>
      <c r="D1" s="7" t="s">
        <v>1</v>
      </c>
      <c r="E1" s="7"/>
      <c r="F1" s="7"/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8</v>
      </c>
      <c r="O1" s="2" t="s">
        <v>9</v>
      </c>
      <c r="P1" s="3" t="s">
        <v>9</v>
      </c>
      <c r="Q1" s="3" t="s">
        <v>10</v>
      </c>
      <c r="R1" s="3" t="s">
        <v>10</v>
      </c>
      <c r="T1" s="7" t="s">
        <v>0</v>
      </c>
      <c r="U1" s="7"/>
      <c r="V1" s="7"/>
      <c r="W1" s="7" t="s">
        <v>1</v>
      </c>
      <c r="X1" s="7"/>
      <c r="Y1" s="7"/>
      <c r="Z1" s="2" t="s">
        <v>2</v>
      </c>
      <c r="AA1" s="2" t="s">
        <v>3</v>
      </c>
      <c r="AB1" s="6" t="s">
        <v>4</v>
      </c>
      <c r="AC1" s="6" t="s">
        <v>28</v>
      </c>
      <c r="AD1" s="6" t="s">
        <v>29</v>
      </c>
      <c r="AE1" s="2" t="s">
        <v>6</v>
      </c>
      <c r="AF1" s="2" t="s">
        <v>7</v>
      </c>
      <c r="AG1" s="2" t="s">
        <v>8</v>
      </c>
      <c r="AH1" s="2" t="s">
        <v>8</v>
      </c>
      <c r="AI1" s="2" t="s">
        <v>9</v>
      </c>
      <c r="AJ1" s="3" t="s">
        <v>9</v>
      </c>
    </row>
    <row r="2" spans="1:36" ht="25.5">
      <c r="A2" s="7" t="s">
        <v>11</v>
      </c>
      <c r="B2" s="7"/>
      <c r="C2" s="7"/>
      <c r="D2" s="7" t="s">
        <v>12</v>
      </c>
      <c r="E2" s="7"/>
      <c r="F2" s="7"/>
      <c r="G2" s="2" t="s">
        <v>13</v>
      </c>
      <c r="H2" s="2"/>
      <c r="I2" s="2" t="s">
        <v>14</v>
      </c>
      <c r="J2" s="2" t="s">
        <v>14</v>
      </c>
      <c r="K2" s="2"/>
      <c r="L2" s="2"/>
      <c r="M2" s="2" t="s">
        <v>15</v>
      </c>
      <c r="N2" s="4" t="s">
        <v>16</v>
      </c>
      <c r="O2" s="2" t="s">
        <v>17</v>
      </c>
      <c r="P2" s="3" t="s">
        <v>16</v>
      </c>
      <c r="Q2" s="3" t="s">
        <v>15</v>
      </c>
      <c r="R2" s="3" t="s">
        <v>16</v>
      </c>
      <c r="T2" s="8" t="s">
        <v>34</v>
      </c>
      <c r="U2" s="7"/>
      <c r="V2" s="7"/>
      <c r="W2" s="7" t="s">
        <v>12</v>
      </c>
      <c r="X2" s="7"/>
      <c r="Y2" s="7"/>
      <c r="Z2" s="2" t="s">
        <v>13</v>
      </c>
      <c r="AA2" s="2"/>
      <c r="AB2" s="2" t="s">
        <v>35</v>
      </c>
      <c r="AC2" s="2" t="s">
        <v>35</v>
      </c>
      <c r="AD2" s="2" t="s">
        <v>35</v>
      </c>
      <c r="AE2" s="2"/>
      <c r="AF2" s="2"/>
      <c r="AG2" s="2" t="s">
        <v>30</v>
      </c>
      <c r="AH2" s="4" t="s">
        <v>31</v>
      </c>
      <c r="AI2" s="2" t="s">
        <v>32</v>
      </c>
      <c r="AJ2" s="3" t="s">
        <v>33</v>
      </c>
    </row>
    <row r="3" spans="1:36" ht="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/>
      <c r="H3" s="2"/>
      <c r="I3" s="1"/>
      <c r="J3" s="1"/>
      <c r="K3" s="1"/>
      <c r="L3" s="1"/>
      <c r="M3" s="1"/>
      <c r="N3" s="1"/>
      <c r="O3" s="1"/>
      <c r="P3" s="5"/>
      <c r="Q3" s="5"/>
      <c r="R3" s="5"/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/>
      <c r="AA3" s="2"/>
      <c r="AB3" s="1"/>
      <c r="AC3" s="1"/>
      <c r="AD3" s="1"/>
      <c r="AE3" s="1"/>
      <c r="AF3" s="1"/>
      <c r="AG3" s="1"/>
      <c r="AH3" s="1"/>
      <c r="AI3" s="1"/>
      <c r="AJ3" s="5"/>
    </row>
    <row r="4" spans="1:36">
      <c r="A4">
        <v>0</v>
      </c>
      <c r="B4">
        <v>0</v>
      </c>
      <c r="C4">
        <v>5</v>
      </c>
      <c r="D4">
        <v>0</v>
      </c>
      <c r="E4">
        <v>0.3</v>
      </c>
      <c r="F4">
        <v>0</v>
      </c>
      <c r="G4">
        <v>0</v>
      </c>
      <c r="H4">
        <v>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T4">
        <v>0</v>
      </c>
      <c r="U4">
        <v>0</v>
      </c>
      <c r="V4">
        <v>15</v>
      </c>
      <c r="W4">
        <v>0</v>
      </c>
      <c r="X4">
        <v>0.3</v>
      </c>
      <c r="Y4">
        <v>0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</row>
    <row r="5" spans="1:36">
      <c r="A5">
        <v>0</v>
      </c>
      <c r="B5">
        <v>0</v>
      </c>
      <c r="C5">
        <v>5</v>
      </c>
      <c r="D5">
        <v>0</v>
      </c>
      <c r="E5">
        <v>0.3</v>
      </c>
      <c r="F5">
        <v>0</v>
      </c>
      <c r="G5">
        <v>5</v>
      </c>
      <c r="H5" t="s">
        <v>24</v>
      </c>
      <c r="I5" t="s">
        <v>36</v>
      </c>
      <c r="J5">
        <v>81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</row>
    <row r="6" spans="1:36">
      <c r="A6">
        <v>0</v>
      </c>
      <c r="B6">
        <v>0</v>
      </c>
      <c r="C6">
        <v>5</v>
      </c>
      <c r="D6">
        <v>0</v>
      </c>
      <c r="E6">
        <v>0.3</v>
      </c>
      <c r="F6">
        <v>0</v>
      </c>
      <c r="G6">
        <v>5</v>
      </c>
      <c r="H6" t="s">
        <v>24</v>
      </c>
      <c r="I6" t="s">
        <v>36</v>
      </c>
      <c r="J6">
        <v>159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</row>
    <row r="7" spans="1:36">
      <c r="A7">
        <v>0</v>
      </c>
      <c r="B7">
        <v>0</v>
      </c>
      <c r="C7">
        <v>5</v>
      </c>
      <c r="D7">
        <v>0</v>
      </c>
      <c r="E7">
        <v>0.3</v>
      </c>
      <c r="F7">
        <v>0</v>
      </c>
      <c r="G7">
        <v>5</v>
      </c>
      <c r="H7" t="s">
        <v>24</v>
      </c>
      <c r="I7" t="s">
        <v>36</v>
      </c>
      <c r="J7">
        <v>235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</row>
    <row r="8" spans="1:36">
      <c r="A8">
        <v>0</v>
      </c>
      <c r="B8">
        <v>0</v>
      </c>
      <c r="C8">
        <v>5</v>
      </c>
      <c r="D8">
        <v>0</v>
      </c>
      <c r="E8">
        <v>0.3</v>
      </c>
      <c r="F8">
        <v>0</v>
      </c>
      <c r="G8">
        <v>5</v>
      </c>
      <c r="H8" t="s">
        <v>25</v>
      </c>
      <c r="I8" t="s">
        <v>36</v>
      </c>
      <c r="J8" t="s">
        <v>26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</row>
    <row r="9" spans="1:36">
      <c r="A9">
        <v>0</v>
      </c>
      <c r="B9">
        <v>0</v>
      </c>
      <c r="C9">
        <v>5</v>
      </c>
      <c r="D9">
        <v>0</v>
      </c>
      <c r="E9">
        <v>0.3</v>
      </c>
      <c r="F9">
        <v>0</v>
      </c>
      <c r="G9">
        <v>5</v>
      </c>
      <c r="H9" t="s">
        <v>25</v>
      </c>
      <c r="I9" t="s">
        <v>36</v>
      </c>
      <c r="J9">
        <v>106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</row>
    <row r="10" spans="1:36">
      <c r="A10">
        <v>0</v>
      </c>
      <c r="B10">
        <v>0</v>
      </c>
      <c r="C10">
        <v>5</v>
      </c>
      <c r="D10">
        <v>0</v>
      </c>
      <c r="E10">
        <v>0.3</v>
      </c>
      <c r="F10">
        <v>0</v>
      </c>
      <c r="G10">
        <v>5</v>
      </c>
      <c r="H10" t="s">
        <v>25</v>
      </c>
      <c r="I10" t="s">
        <v>36</v>
      </c>
      <c r="J10" t="s">
        <v>27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</row>
    <row r="11" spans="1:36">
      <c r="A11">
        <v>0</v>
      </c>
      <c r="B11">
        <v>0</v>
      </c>
      <c r="C11">
        <v>5</v>
      </c>
      <c r="D11">
        <v>0</v>
      </c>
      <c r="E11">
        <v>0.3</v>
      </c>
      <c r="F11">
        <v>0</v>
      </c>
      <c r="G11">
        <v>5</v>
      </c>
      <c r="H11" t="s">
        <v>25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>
        <v>40.5</v>
      </c>
      <c r="P11">
        <v>11</v>
      </c>
      <c r="Q11">
        <v>0.79</v>
      </c>
      <c r="R11">
        <v>0.34</v>
      </c>
    </row>
    <row r="12" spans="1:36">
      <c r="A12">
        <v>0</v>
      </c>
      <c r="B12">
        <v>0</v>
      </c>
      <c r="C12">
        <v>5</v>
      </c>
      <c r="D12">
        <v>0</v>
      </c>
      <c r="E12">
        <v>0.3</v>
      </c>
      <c r="F12">
        <v>0</v>
      </c>
      <c r="G12">
        <v>5</v>
      </c>
      <c r="H12" t="s">
        <v>24</v>
      </c>
      <c r="I12" t="s">
        <v>36</v>
      </c>
      <c r="J12" t="s">
        <v>36</v>
      </c>
      <c r="K12" t="s">
        <v>36</v>
      </c>
      <c r="L12" t="s">
        <v>36</v>
      </c>
      <c r="M12">
        <v>41.4</v>
      </c>
      <c r="N12">
        <v>37</v>
      </c>
      <c r="O12">
        <v>25.9</v>
      </c>
      <c r="P12">
        <v>10.5</v>
      </c>
      <c r="Q12">
        <v>0.625</v>
      </c>
      <c r="R12">
        <v>0.28299999999999997</v>
      </c>
    </row>
    <row r="13" spans="1:36">
      <c r="A13">
        <v>0</v>
      </c>
      <c r="B13">
        <v>0</v>
      </c>
      <c r="C13">
        <v>5</v>
      </c>
      <c r="D13">
        <v>0</v>
      </c>
      <c r="E13">
        <v>0.3</v>
      </c>
      <c r="F13">
        <v>0</v>
      </c>
      <c r="G13">
        <v>5</v>
      </c>
      <c r="H13" t="s">
        <v>25</v>
      </c>
      <c r="I13" t="s">
        <v>36</v>
      </c>
      <c r="J13" t="s">
        <v>36</v>
      </c>
      <c r="K13">
        <v>0.187</v>
      </c>
      <c r="L13">
        <v>4.8499999999999996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</row>
    <row r="14" spans="1:36">
      <c r="A14">
        <v>0</v>
      </c>
      <c r="B14">
        <v>0</v>
      </c>
      <c r="C14">
        <v>5</v>
      </c>
      <c r="D14">
        <v>0</v>
      </c>
      <c r="E14">
        <v>0.3</v>
      </c>
      <c r="F14">
        <v>0</v>
      </c>
      <c r="G14">
        <v>5</v>
      </c>
      <c r="H14" t="s">
        <v>25</v>
      </c>
      <c r="I14" t="s">
        <v>36</v>
      </c>
      <c r="J14" t="s">
        <v>36</v>
      </c>
      <c r="K14">
        <v>4.2000000000000003E-2</v>
      </c>
      <c r="L14">
        <v>4.0199999999999996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</row>
    <row r="15" spans="1:36">
      <c r="A15">
        <v>0</v>
      </c>
      <c r="B15">
        <v>0</v>
      </c>
      <c r="C15">
        <v>5</v>
      </c>
      <c r="D15">
        <v>0</v>
      </c>
      <c r="E15">
        <v>0.3</v>
      </c>
      <c r="F15">
        <v>0</v>
      </c>
      <c r="G15">
        <v>5</v>
      </c>
      <c r="H15" t="s">
        <v>25</v>
      </c>
      <c r="I15" t="s">
        <v>36</v>
      </c>
      <c r="J15" t="s">
        <v>36</v>
      </c>
      <c r="K15">
        <v>1.4999999999999999E-2</v>
      </c>
      <c r="L15">
        <v>3.15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</row>
    <row r="16" spans="1:36">
      <c r="A16">
        <v>0</v>
      </c>
      <c r="B16">
        <v>0</v>
      </c>
      <c r="C16">
        <v>5</v>
      </c>
      <c r="D16">
        <v>0</v>
      </c>
      <c r="E16">
        <v>0.3</v>
      </c>
      <c r="F16">
        <v>0</v>
      </c>
      <c r="G16">
        <v>5</v>
      </c>
      <c r="H16" t="s">
        <v>25</v>
      </c>
      <c r="I16" t="s">
        <v>36</v>
      </c>
      <c r="J16" t="s">
        <v>36</v>
      </c>
      <c r="K16">
        <v>8.0000000000000002E-3</v>
      </c>
      <c r="L16">
        <v>3.18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</row>
  </sheetData>
  <mergeCells count="8">
    <mergeCell ref="W1:Y1"/>
    <mergeCell ref="T2:V2"/>
    <mergeCell ref="W2:Y2"/>
    <mergeCell ref="A1:C1"/>
    <mergeCell ref="D1:F1"/>
    <mergeCell ref="A2:C2"/>
    <mergeCell ref="D2:F2"/>
    <mergeCell ref="T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915E-887F-444C-8005-67F610DC1D46}">
  <dimension ref="A1:AJ31"/>
  <sheetViews>
    <sheetView tabSelected="1" topLeftCell="Q1" workbookViewId="0">
      <selection activeCell="U15" sqref="U15"/>
    </sheetView>
  </sheetViews>
  <sheetFormatPr defaultRowHeight="14.25"/>
  <cols>
    <col min="1" max="1" width="8.25" bestFit="1" customWidth="1"/>
    <col min="2" max="6" width="5.75" customWidth="1"/>
    <col min="7" max="7" width="16.125" bestFit="1" customWidth="1"/>
    <col min="8" max="8" width="13.5" bestFit="1" customWidth="1"/>
    <col min="9" max="9" width="20.75" bestFit="1" customWidth="1"/>
    <col min="10" max="10" width="25" bestFit="1" customWidth="1"/>
    <col min="11" max="11" width="22.375" bestFit="1" customWidth="1"/>
    <col min="12" max="12" width="18" bestFit="1" customWidth="1"/>
    <col min="13" max="14" width="10" bestFit="1" customWidth="1"/>
    <col min="15" max="15" width="18.25" bestFit="1" customWidth="1"/>
    <col min="16" max="16" width="11.25" bestFit="1" customWidth="1"/>
    <col min="17" max="18" width="11.5" bestFit="1" customWidth="1"/>
  </cols>
  <sheetData>
    <row r="1" spans="1:36" ht="60">
      <c r="A1" s="7" t="s">
        <v>0</v>
      </c>
      <c r="B1" s="7"/>
      <c r="C1" s="7"/>
      <c r="D1" s="7" t="s">
        <v>1</v>
      </c>
      <c r="E1" s="7"/>
      <c r="F1" s="7"/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8</v>
      </c>
      <c r="O1" s="2" t="s">
        <v>9</v>
      </c>
      <c r="P1" s="3" t="s">
        <v>9</v>
      </c>
      <c r="Q1" s="3" t="s">
        <v>10</v>
      </c>
      <c r="R1" s="3" t="s">
        <v>10</v>
      </c>
      <c r="T1" s="7" t="s">
        <v>0</v>
      </c>
      <c r="U1" s="7"/>
      <c r="V1" s="7"/>
      <c r="W1" s="7" t="s">
        <v>1</v>
      </c>
      <c r="X1" s="7"/>
      <c r="Y1" s="7"/>
      <c r="Z1" s="2" t="s">
        <v>2</v>
      </c>
      <c r="AA1" s="2" t="s">
        <v>3</v>
      </c>
      <c r="AB1" s="6" t="s">
        <v>4</v>
      </c>
      <c r="AC1" s="6" t="s">
        <v>28</v>
      </c>
      <c r="AD1" s="6" t="s">
        <v>29</v>
      </c>
      <c r="AE1" s="2" t="s">
        <v>6</v>
      </c>
      <c r="AF1" s="2" t="s">
        <v>7</v>
      </c>
      <c r="AG1" s="2" t="s">
        <v>8</v>
      </c>
      <c r="AH1" s="2" t="s">
        <v>8</v>
      </c>
      <c r="AI1" s="2" t="s">
        <v>9</v>
      </c>
      <c r="AJ1" s="3" t="s">
        <v>9</v>
      </c>
    </row>
    <row r="2" spans="1:36" ht="25.5">
      <c r="A2" s="7" t="s">
        <v>11</v>
      </c>
      <c r="B2" s="7"/>
      <c r="C2" s="7"/>
      <c r="D2" s="7" t="s">
        <v>12</v>
      </c>
      <c r="E2" s="7"/>
      <c r="F2" s="7"/>
      <c r="G2" s="2" t="s">
        <v>13</v>
      </c>
      <c r="H2" s="2"/>
      <c r="I2" s="2" t="s">
        <v>14</v>
      </c>
      <c r="J2" s="2" t="s">
        <v>14</v>
      </c>
      <c r="K2" s="2"/>
      <c r="L2" s="2"/>
      <c r="M2" s="2" t="s">
        <v>15</v>
      </c>
      <c r="N2" s="4" t="s">
        <v>16</v>
      </c>
      <c r="O2" s="2" t="s">
        <v>17</v>
      </c>
      <c r="P2" s="3" t="s">
        <v>16</v>
      </c>
      <c r="Q2" s="3" t="s">
        <v>15</v>
      </c>
      <c r="R2" s="3" t="s">
        <v>16</v>
      </c>
      <c r="T2" s="8" t="s">
        <v>34</v>
      </c>
      <c r="U2" s="7"/>
      <c r="V2" s="7"/>
      <c r="W2" s="7" t="s">
        <v>12</v>
      </c>
      <c r="X2" s="7"/>
      <c r="Y2" s="7"/>
      <c r="Z2" s="2" t="s">
        <v>13</v>
      </c>
      <c r="AA2" s="2"/>
      <c r="AB2" s="2" t="s">
        <v>35</v>
      </c>
      <c r="AC2" s="2" t="s">
        <v>35</v>
      </c>
      <c r="AD2" s="2" t="s">
        <v>35</v>
      </c>
      <c r="AE2" s="2"/>
      <c r="AF2" s="2"/>
      <c r="AG2" s="2" t="s">
        <v>30</v>
      </c>
      <c r="AH2" s="4" t="s">
        <v>31</v>
      </c>
      <c r="AI2" s="2" t="s">
        <v>32</v>
      </c>
      <c r="AJ2" s="3" t="s">
        <v>33</v>
      </c>
    </row>
    <row r="3" spans="1:36" ht="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/>
      <c r="H3" s="2"/>
      <c r="I3" s="1"/>
      <c r="J3" s="1"/>
      <c r="K3" s="1"/>
      <c r="L3" s="1"/>
      <c r="M3" s="1"/>
      <c r="N3" s="1"/>
      <c r="O3" s="1"/>
      <c r="P3" s="5"/>
      <c r="Q3" s="5"/>
      <c r="R3" s="5"/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/>
      <c r="AA3" s="2"/>
      <c r="AB3" s="1"/>
      <c r="AC3" s="1"/>
      <c r="AD3" s="1"/>
      <c r="AE3" s="1"/>
      <c r="AF3" s="1"/>
      <c r="AG3" s="1"/>
      <c r="AH3" s="1"/>
      <c r="AI3" s="1"/>
      <c r="AJ3" s="5"/>
    </row>
    <row r="4" spans="1:36">
      <c r="A4">
        <v>0</v>
      </c>
      <c r="B4">
        <v>0</v>
      </c>
      <c r="C4">
        <v>5</v>
      </c>
      <c r="D4">
        <v>0</v>
      </c>
      <c r="E4">
        <v>0</v>
      </c>
      <c r="F4">
        <v>0.3</v>
      </c>
      <c r="G4">
        <v>0</v>
      </c>
      <c r="H4">
        <v>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T4">
        <v>0</v>
      </c>
      <c r="U4">
        <v>0</v>
      </c>
      <c r="V4">
        <v>15</v>
      </c>
      <c r="W4">
        <v>0</v>
      </c>
      <c r="X4">
        <v>0</v>
      </c>
      <c r="Y4">
        <v>0.3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</row>
    <row r="5" spans="1:36">
      <c r="A5">
        <v>0</v>
      </c>
      <c r="B5">
        <v>0</v>
      </c>
      <c r="C5">
        <v>5</v>
      </c>
      <c r="D5">
        <v>0</v>
      </c>
      <c r="E5">
        <v>0</v>
      </c>
      <c r="F5">
        <v>0</v>
      </c>
      <c r="G5">
        <v>5</v>
      </c>
      <c r="H5" t="s">
        <v>24</v>
      </c>
      <c r="I5">
        <v>1480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T5">
        <v>0</v>
      </c>
      <c r="U5">
        <v>0</v>
      </c>
      <c r="V5">
        <v>15</v>
      </c>
      <c r="W5">
        <v>0</v>
      </c>
      <c r="X5">
        <v>0</v>
      </c>
      <c r="Y5">
        <v>0</v>
      </c>
      <c r="Z5">
        <v>15</v>
      </c>
      <c r="AA5" t="s">
        <v>25</v>
      </c>
      <c r="AB5">
        <v>3.11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</row>
    <row r="6" spans="1:36">
      <c r="A6">
        <v>0</v>
      </c>
      <c r="B6">
        <v>0</v>
      </c>
      <c r="C6">
        <v>5</v>
      </c>
      <c r="D6">
        <v>0</v>
      </c>
      <c r="E6">
        <v>0</v>
      </c>
      <c r="F6">
        <v>0</v>
      </c>
      <c r="G6">
        <v>5</v>
      </c>
      <c r="H6" t="s">
        <v>24</v>
      </c>
      <c r="I6">
        <v>1466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T6">
        <v>0</v>
      </c>
      <c r="U6">
        <v>0</v>
      </c>
      <c r="V6">
        <v>15</v>
      </c>
      <c r="W6">
        <v>0</v>
      </c>
      <c r="X6">
        <v>0</v>
      </c>
      <c r="Y6">
        <v>0</v>
      </c>
      <c r="Z6">
        <v>15</v>
      </c>
      <c r="AA6" t="s">
        <v>25</v>
      </c>
      <c r="AB6">
        <v>2.72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</row>
    <row r="7" spans="1:36">
      <c r="A7">
        <v>0</v>
      </c>
      <c r="B7">
        <v>0</v>
      </c>
      <c r="C7">
        <v>5</v>
      </c>
      <c r="D7">
        <v>0</v>
      </c>
      <c r="E7">
        <v>0</v>
      </c>
      <c r="F7">
        <v>0</v>
      </c>
      <c r="G7">
        <v>5</v>
      </c>
      <c r="H7" t="s">
        <v>24</v>
      </c>
      <c r="I7">
        <v>1488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T7">
        <v>0</v>
      </c>
      <c r="U7">
        <v>0</v>
      </c>
      <c r="V7">
        <v>15</v>
      </c>
      <c r="W7">
        <v>0</v>
      </c>
      <c r="X7">
        <v>0</v>
      </c>
      <c r="Y7">
        <v>0</v>
      </c>
      <c r="Z7">
        <v>15</v>
      </c>
      <c r="AA7" t="s">
        <v>25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</row>
    <row r="8" spans="1:36">
      <c r="A8">
        <v>0</v>
      </c>
      <c r="B8">
        <v>0</v>
      </c>
      <c r="C8">
        <v>5</v>
      </c>
      <c r="D8">
        <v>0</v>
      </c>
      <c r="E8">
        <v>0</v>
      </c>
      <c r="F8">
        <v>0.3</v>
      </c>
      <c r="G8">
        <v>5</v>
      </c>
      <c r="H8" t="s">
        <v>24</v>
      </c>
      <c r="I8" t="s">
        <v>36</v>
      </c>
      <c r="J8">
        <v>342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T8">
        <v>0</v>
      </c>
      <c r="U8">
        <v>0</v>
      </c>
      <c r="V8">
        <v>15</v>
      </c>
      <c r="W8">
        <v>0</v>
      </c>
      <c r="X8">
        <v>0</v>
      </c>
      <c r="Y8">
        <v>0.3</v>
      </c>
      <c r="Z8">
        <v>15</v>
      </c>
      <c r="AA8" t="s">
        <v>25</v>
      </c>
      <c r="AB8" t="s">
        <v>36</v>
      </c>
      <c r="AC8">
        <v>0.18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</row>
    <row r="9" spans="1:36">
      <c r="A9">
        <v>0</v>
      </c>
      <c r="B9">
        <v>0</v>
      </c>
      <c r="C9">
        <v>5</v>
      </c>
      <c r="D9">
        <v>0</v>
      </c>
      <c r="E9">
        <v>0</v>
      </c>
      <c r="F9">
        <v>0.3</v>
      </c>
      <c r="G9">
        <v>5</v>
      </c>
      <c r="H9" t="s">
        <v>24</v>
      </c>
      <c r="I9" t="s">
        <v>36</v>
      </c>
      <c r="J9">
        <v>202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T9">
        <v>0</v>
      </c>
      <c r="U9">
        <v>0</v>
      </c>
      <c r="V9">
        <v>15</v>
      </c>
      <c r="W9">
        <v>0</v>
      </c>
      <c r="X9">
        <v>0</v>
      </c>
      <c r="Y9">
        <v>0.3</v>
      </c>
      <c r="Z9">
        <v>15</v>
      </c>
      <c r="AA9" t="s">
        <v>25</v>
      </c>
      <c r="AB9" t="s">
        <v>36</v>
      </c>
      <c r="AC9">
        <v>0.24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</row>
    <row r="10" spans="1:36">
      <c r="A10">
        <v>0</v>
      </c>
      <c r="B10">
        <v>0</v>
      </c>
      <c r="C10">
        <v>5</v>
      </c>
      <c r="D10">
        <v>0</v>
      </c>
      <c r="E10">
        <v>0</v>
      </c>
      <c r="F10">
        <v>0.3</v>
      </c>
      <c r="G10">
        <v>5</v>
      </c>
      <c r="H10" t="s">
        <v>24</v>
      </c>
      <c r="I10" t="s">
        <v>36</v>
      </c>
      <c r="J10">
        <v>741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T10">
        <v>0</v>
      </c>
      <c r="U10">
        <v>0</v>
      </c>
      <c r="V10">
        <v>15</v>
      </c>
      <c r="W10">
        <v>0</v>
      </c>
      <c r="X10">
        <v>0</v>
      </c>
      <c r="Y10">
        <v>0.3</v>
      </c>
      <c r="Z10">
        <v>15</v>
      </c>
      <c r="AA10" t="s">
        <v>25</v>
      </c>
      <c r="AB10" t="s">
        <v>36</v>
      </c>
      <c r="AC10">
        <v>0.17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</row>
    <row r="11" spans="1:36">
      <c r="A11">
        <v>0</v>
      </c>
      <c r="B11">
        <v>0</v>
      </c>
      <c r="C11">
        <v>5</v>
      </c>
      <c r="D11">
        <v>0</v>
      </c>
      <c r="E11">
        <v>0</v>
      </c>
      <c r="F11">
        <v>0.3</v>
      </c>
      <c r="G11">
        <v>5</v>
      </c>
      <c r="H11" t="s">
        <v>25</v>
      </c>
      <c r="I11" t="s">
        <v>36</v>
      </c>
      <c r="J11">
        <v>270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T11">
        <v>0</v>
      </c>
      <c r="U11">
        <v>0</v>
      </c>
      <c r="V11">
        <v>15</v>
      </c>
      <c r="W11">
        <v>0</v>
      </c>
      <c r="X11">
        <v>0</v>
      </c>
      <c r="Y11">
        <v>0.3</v>
      </c>
      <c r="Z11">
        <v>15</v>
      </c>
      <c r="AA11" t="s">
        <v>25</v>
      </c>
      <c r="AB11" t="s">
        <v>36</v>
      </c>
      <c r="AC11" t="s">
        <v>36</v>
      </c>
      <c r="AD11">
        <v>4.18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</row>
    <row r="12" spans="1:36">
      <c r="A12">
        <v>0</v>
      </c>
      <c r="B12">
        <v>0</v>
      </c>
      <c r="C12">
        <v>5</v>
      </c>
      <c r="D12">
        <v>0</v>
      </c>
      <c r="E12">
        <v>0</v>
      </c>
      <c r="F12">
        <v>0.3</v>
      </c>
      <c r="G12">
        <v>5</v>
      </c>
      <c r="H12" t="s">
        <v>25</v>
      </c>
      <c r="I12" t="s">
        <v>36</v>
      </c>
      <c r="J12">
        <v>934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T12">
        <v>0</v>
      </c>
      <c r="U12">
        <v>0</v>
      </c>
      <c r="V12">
        <v>15</v>
      </c>
      <c r="W12">
        <v>0</v>
      </c>
      <c r="X12">
        <v>0</v>
      </c>
      <c r="Y12">
        <v>0.3</v>
      </c>
      <c r="Z12">
        <v>15</v>
      </c>
      <c r="AA12" t="s">
        <v>25</v>
      </c>
      <c r="AB12" t="s">
        <v>36</v>
      </c>
      <c r="AC12" t="s">
        <v>36</v>
      </c>
      <c r="AD12">
        <v>4.17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</row>
    <row r="13" spans="1:36">
      <c r="A13">
        <v>0</v>
      </c>
      <c r="B13">
        <v>0</v>
      </c>
      <c r="C13">
        <v>5</v>
      </c>
      <c r="D13">
        <v>0</v>
      </c>
      <c r="E13">
        <v>0</v>
      </c>
      <c r="F13">
        <v>0.3</v>
      </c>
      <c r="G13">
        <v>5</v>
      </c>
      <c r="H13" t="s">
        <v>25</v>
      </c>
      <c r="I13" t="s">
        <v>36</v>
      </c>
      <c r="J13">
        <v>443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T13">
        <v>0</v>
      </c>
      <c r="U13">
        <v>0</v>
      </c>
      <c r="V13">
        <v>15</v>
      </c>
      <c r="W13">
        <v>0</v>
      </c>
      <c r="X13">
        <v>0</v>
      </c>
      <c r="Y13">
        <v>0.3</v>
      </c>
      <c r="Z13">
        <v>15</v>
      </c>
      <c r="AA13" t="s">
        <v>25</v>
      </c>
      <c r="AB13" t="s">
        <v>36</v>
      </c>
      <c r="AC13" t="s">
        <v>36</v>
      </c>
      <c r="AD13">
        <v>4.41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</row>
    <row r="14" spans="1:36">
      <c r="A14">
        <v>0</v>
      </c>
      <c r="B14">
        <v>0</v>
      </c>
      <c r="C14">
        <v>5</v>
      </c>
      <c r="D14">
        <v>0</v>
      </c>
      <c r="E14">
        <v>0</v>
      </c>
      <c r="F14">
        <v>0.3</v>
      </c>
      <c r="G14">
        <v>5</v>
      </c>
      <c r="H14" t="s">
        <v>25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>
        <v>38.799999999999997</v>
      </c>
      <c r="P14">
        <v>16.5</v>
      </c>
      <c r="Q14">
        <v>0.93</v>
      </c>
      <c r="R14">
        <v>0.15</v>
      </c>
      <c r="T14">
        <v>0</v>
      </c>
      <c r="U14">
        <v>0</v>
      </c>
      <c r="V14">
        <v>15</v>
      </c>
      <c r="W14">
        <v>0</v>
      </c>
      <c r="X14">
        <v>0</v>
      </c>
      <c r="Y14">
        <v>0.3</v>
      </c>
      <c r="Z14">
        <v>15</v>
      </c>
      <c r="AA14" t="s">
        <v>25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>
        <v>61.5</v>
      </c>
      <c r="AH14">
        <v>60.6</v>
      </c>
      <c r="AI14">
        <v>48.2</v>
      </c>
      <c r="AJ14">
        <v>22.9</v>
      </c>
    </row>
    <row r="15" spans="1:36">
      <c r="A15">
        <v>0</v>
      </c>
      <c r="B15">
        <v>0</v>
      </c>
      <c r="C15">
        <v>5</v>
      </c>
      <c r="D15">
        <v>0</v>
      </c>
      <c r="E15">
        <v>0</v>
      </c>
      <c r="F15">
        <v>0.3</v>
      </c>
      <c r="G15">
        <v>5</v>
      </c>
      <c r="H15" t="s">
        <v>24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T15">
        <v>0</v>
      </c>
      <c r="U15">
        <v>0</v>
      </c>
      <c r="V15">
        <v>15</v>
      </c>
      <c r="W15">
        <v>0</v>
      </c>
      <c r="X15">
        <v>0</v>
      </c>
      <c r="Y15">
        <v>0.3</v>
      </c>
      <c r="Z15">
        <v>15</v>
      </c>
      <c r="AA15" t="s">
        <v>25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>
        <v>56.3</v>
      </c>
      <c r="AH15">
        <v>54.6</v>
      </c>
      <c r="AI15">
        <v>44.1</v>
      </c>
      <c r="AJ15">
        <v>18.7</v>
      </c>
    </row>
    <row r="16" spans="1:36">
      <c r="A16">
        <v>0</v>
      </c>
      <c r="B16">
        <v>0</v>
      </c>
      <c r="C16">
        <v>5</v>
      </c>
      <c r="D16">
        <v>0</v>
      </c>
      <c r="E16">
        <v>0</v>
      </c>
      <c r="F16">
        <v>0.3</v>
      </c>
      <c r="G16">
        <v>5</v>
      </c>
      <c r="H16" t="s">
        <v>25</v>
      </c>
      <c r="I16" t="s">
        <v>36</v>
      </c>
      <c r="J16" t="s">
        <v>36</v>
      </c>
      <c r="K16">
        <v>0.41599999999999998</v>
      </c>
      <c r="L16">
        <v>5.39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T16">
        <v>0</v>
      </c>
      <c r="U16">
        <v>0</v>
      </c>
      <c r="V16">
        <v>15</v>
      </c>
      <c r="W16">
        <v>0</v>
      </c>
      <c r="X16">
        <v>0</v>
      </c>
      <c r="Y16">
        <v>0.3</v>
      </c>
      <c r="Z16">
        <v>15</v>
      </c>
      <c r="AA16" t="s">
        <v>25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</row>
    <row r="17" spans="1:18">
      <c r="A17">
        <v>0</v>
      </c>
      <c r="B17">
        <v>0</v>
      </c>
      <c r="C17">
        <v>5</v>
      </c>
      <c r="D17">
        <v>0</v>
      </c>
      <c r="E17">
        <v>0</v>
      </c>
      <c r="F17">
        <v>0.3</v>
      </c>
      <c r="G17">
        <v>5</v>
      </c>
      <c r="H17" t="s">
        <v>25</v>
      </c>
      <c r="I17" t="s">
        <v>36</v>
      </c>
      <c r="J17" t="s">
        <v>36</v>
      </c>
      <c r="K17">
        <v>0.23</v>
      </c>
      <c r="L17">
        <v>5.05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</row>
    <row r="18" spans="1:18">
      <c r="A18">
        <v>0</v>
      </c>
      <c r="B18">
        <v>0</v>
      </c>
      <c r="C18">
        <v>5</v>
      </c>
      <c r="D18">
        <v>0</v>
      </c>
      <c r="E18">
        <v>0</v>
      </c>
      <c r="F18">
        <v>0.3</v>
      </c>
      <c r="G18">
        <v>5</v>
      </c>
      <c r="H18" t="s">
        <v>25</v>
      </c>
      <c r="I18" t="s">
        <v>36</v>
      </c>
      <c r="J18" t="s">
        <v>36</v>
      </c>
      <c r="K18">
        <v>0.69699999999999995</v>
      </c>
      <c r="L18">
        <v>5.2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</row>
    <row r="19" spans="1:18">
      <c r="A19">
        <v>0</v>
      </c>
      <c r="B19">
        <v>0</v>
      </c>
      <c r="C19">
        <v>5</v>
      </c>
      <c r="D19">
        <v>0</v>
      </c>
      <c r="E19">
        <v>0</v>
      </c>
      <c r="F19">
        <v>0.3</v>
      </c>
      <c r="G19">
        <v>5</v>
      </c>
      <c r="H19" t="s">
        <v>25</v>
      </c>
      <c r="I19" t="s">
        <v>36</v>
      </c>
      <c r="J19" t="s">
        <v>36</v>
      </c>
      <c r="K19">
        <v>7.5999999999999998E-2</v>
      </c>
      <c r="L19">
        <v>4.3499999999999996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</row>
    <row r="20" spans="1:18">
      <c r="A20">
        <v>0</v>
      </c>
      <c r="B20">
        <v>0</v>
      </c>
      <c r="C20">
        <v>5</v>
      </c>
      <c r="D20">
        <v>0</v>
      </c>
      <c r="E20">
        <v>0</v>
      </c>
      <c r="F20">
        <v>0.3</v>
      </c>
      <c r="G20">
        <v>5</v>
      </c>
      <c r="H20" t="s">
        <v>25</v>
      </c>
      <c r="I20" t="s">
        <v>36</v>
      </c>
      <c r="J20" t="s">
        <v>36</v>
      </c>
      <c r="K20">
        <v>3.2000000000000001E-2</v>
      </c>
      <c r="L20">
        <v>3.52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</row>
    <row r="21" spans="1:18">
      <c r="A21">
        <v>0</v>
      </c>
      <c r="B21">
        <v>0</v>
      </c>
      <c r="C21">
        <v>5</v>
      </c>
      <c r="D21">
        <v>0</v>
      </c>
      <c r="E21">
        <v>0</v>
      </c>
      <c r="F21">
        <v>0.3</v>
      </c>
      <c r="G21">
        <v>5</v>
      </c>
      <c r="H21" t="s">
        <v>25</v>
      </c>
      <c r="I21" t="s">
        <v>36</v>
      </c>
      <c r="J21" t="s">
        <v>36</v>
      </c>
      <c r="K21">
        <v>0.69699999999999995</v>
      </c>
      <c r="L21">
        <v>3.34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</row>
    <row r="22" spans="1:18">
      <c r="A22">
        <v>0</v>
      </c>
      <c r="B22">
        <v>0</v>
      </c>
      <c r="C22">
        <v>5</v>
      </c>
      <c r="D22">
        <v>0</v>
      </c>
      <c r="E22">
        <v>0</v>
      </c>
      <c r="F22">
        <v>0.3</v>
      </c>
      <c r="G22">
        <v>5</v>
      </c>
      <c r="H22" t="s">
        <v>25</v>
      </c>
      <c r="I22" t="s">
        <v>36</v>
      </c>
      <c r="J22" t="s">
        <v>36</v>
      </c>
      <c r="K22">
        <v>0.23699999999999999</v>
      </c>
      <c r="L22">
        <v>4.33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</row>
    <row r="31" spans="1:18">
      <c r="I31">
        <v>1478</v>
      </c>
    </row>
  </sheetData>
  <mergeCells count="8">
    <mergeCell ref="W1:Y1"/>
    <mergeCell ref="T2:V2"/>
    <mergeCell ref="W2:Y2"/>
    <mergeCell ref="A1:C1"/>
    <mergeCell ref="D1:F1"/>
    <mergeCell ref="A2:C2"/>
    <mergeCell ref="D2:F2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14564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1</vt:lpstr>
      <vt:lpstr>Case 2</vt:lpstr>
      <vt:lpstr>Case 3</vt:lpstr>
      <vt:lpstr>Case 4</vt:lpstr>
      <vt:lpstr>Case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Dashiell Papula</dc:creator>
  <cp:lastModifiedBy>Widdowson, Denise</cp:lastModifiedBy>
  <cp:revision>4</cp:revision>
  <dcterms:created xsi:type="dcterms:W3CDTF">2021-03-10T10:05:37Z</dcterms:created>
  <dcterms:modified xsi:type="dcterms:W3CDTF">2025-12-30T18:05:31Z</dcterms:modified>
</cp:coreProperties>
</file>